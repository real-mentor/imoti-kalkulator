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КАЛКУЛАТОР" sheetId="1" state="visible" r:id="rId1"/>
    <sheet xmlns:r="http://schemas.openxmlformats.org/officeDocument/2006/relationships" name="📅 СЕЗОНЕН ПЛАН" sheetId="2" state="visible" r:id="rId2"/>
    <sheet xmlns:r="http://schemas.openxmlformats.org/officeDocument/2006/relationships" name="⚖️ РИСКОВЕ" sheetId="3" state="visible" r:id="rId3"/>
    <sheet xmlns:r="http://schemas.openxmlformats.org/officeDocument/2006/relationships" name="📖 НАРЪЧНИ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лв.&quot;"/>
    <numFmt numFmtId="165" formatCode="0&quot;%&quot;"/>
    <numFmt numFmtId="166" formatCode="0.0"/>
    <numFmt numFmtId="167" formatCode="0.0&quot;%&quot;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color rgb="001B4F72"/>
      <sz val="9"/>
    </font>
    <font>
      <name val="Arial"/>
      <color rgb="002980B9"/>
      <sz val="10"/>
    </font>
    <font>
      <name val="Arial"/>
      <color rgb="0027AE60"/>
      <sz val="10"/>
    </font>
    <font>
      <name val="Arial"/>
      <color rgb="001A1A1A"/>
      <sz val="10"/>
    </font>
    <font>
      <name val="Arial"/>
      <color rgb="00E67E22"/>
      <sz val="10"/>
    </font>
    <font>
      <name val="Arial"/>
      <b val="1"/>
      <color rgb="00FF5A5F"/>
      <sz val="9"/>
    </font>
    <font>
      <name val="Arial"/>
      <b val="1"/>
      <color rgb="00FFFFFF"/>
      <sz val="11"/>
    </font>
    <font>
      <name val="Arial"/>
      <b val="1"/>
      <color rgb="0027AE60"/>
      <sz val="9"/>
    </font>
    <font>
      <name val="Arial"/>
      <b val="1"/>
      <color rgb="00FFFFFF"/>
      <sz val="9"/>
    </font>
    <font>
      <name val="Arial"/>
      <color rgb="007F8C8D"/>
      <sz val="9"/>
    </font>
    <font>
      <name val="Arial"/>
      <b val="1"/>
      <color rgb="00FFFFFF"/>
      <sz val="12"/>
    </font>
    <font>
      <name val="Arial"/>
      <color rgb="00FF5A5F"/>
      <sz val="10"/>
    </font>
    <font>
      <name val="Arial"/>
      <b val="1"/>
      <color rgb="00FFFFFF"/>
      <sz val="13"/>
    </font>
    <font>
      <name val="Arial"/>
      <b val="1"/>
      <color rgb="00FFFFFF"/>
      <sz val="16"/>
    </font>
    <font>
      <name val="Arial"/>
      <b val="1"/>
      <color rgb="001A1A1A"/>
      <sz val="9"/>
    </font>
    <font>
      <name val="Arial"/>
      <color rgb="001B4F72"/>
      <sz val="10"/>
    </font>
    <font>
      <name val="Arial"/>
      <b val="1"/>
      <color rgb="001B4F72"/>
      <sz val="10"/>
    </font>
    <font>
      <name val="Arial"/>
      <color rgb="0027AE60"/>
      <sz val="9"/>
    </font>
    <font>
      <name val="Arial"/>
      <color rgb="00C0392B"/>
      <sz val="9"/>
    </font>
    <font>
      <name val="Arial"/>
      <color rgb="00E67E22"/>
      <sz val="9"/>
    </font>
    <font>
      <name val="Arial"/>
      <color rgb="002980B9"/>
      <sz val="9"/>
    </font>
  </fonts>
  <fills count="23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8FBFF"/>
      </patternFill>
    </fill>
    <fill>
      <patternFill patternType="solid">
        <fgColor rgb="00FF5A5F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39C12"/>
      </patternFill>
    </fill>
    <fill>
      <patternFill patternType="solid">
        <fgColor rgb="001ABC9C"/>
      </patternFill>
    </fill>
    <fill>
      <patternFill patternType="solid">
        <fgColor rgb="00FFF5F5"/>
      </patternFill>
    </fill>
    <fill>
      <patternFill patternType="solid">
        <fgColor rgb="00B3C6E7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ADBD8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2980B9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0" fillId="8" borderId="1" pivotButton="0" quotePrefix="0" xfId="0"/>
    <xf numFmtId="165" fontId="5" fillId="7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166" fontId="6" fillId="7" borderId="1" applyAlignment="1" pivotButton="0" quotePrefix="0" xfId="0">
      <alignment horizontal="center" vertical="center"/>
    </xf>
    <xf numFmtId="166" fontId="7" fillId="11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164" fontId="14" fillId="4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167" fontId="15" fillId="10" borderId="1" applyAlignment="1" pivotButton="0" quotePrefix="0" xfId="0">
      <alignment horizontal="center" vertical="center"/>
    </xf>
    <xf numFmtId="167" fontId="6" fillId="11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0" fillId="2" borderId="1" pivotButton="0" quotePrefix="0" xfId="0"/>
    <xf numFmtId="0" fontId="18" fillId="15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0" fillId="6" borderId="1" pivotButton="0" quotePrefix="0" xfId="0"/>
    <xf numFmtId="3" fontId="7" fillId="15" borderId="1" applyAlignment="1" pivotButton="0" quotePrefix="0" xfId="0">
      <alignment horizontal="center" vertical="center"/>
    </xf>
    <xf numFmtId="3" fontId="7" fillId="16" borderId="1" applyAlignment="1" pivotButton="0" quotePrefix="0" xfId="0">
      <alignment horizontal="center" vertical="center"/>
    </xf>
    <xf numFmtId="3" fontId="7" fillId="17" borderId="1" applyAlignment="1" pivotButton="0" quotePrefix="0" xfId="0">
      <alignment horizontal="center" vertical="center"/>
    </xf>
    <xf numFmtId="3" fontId="7" fillId="18" borderId="1" applyAlignment="1" pivotButton="0" quotePrefix="0" xfId="0">
      <alignment horizontal="center" vertical="center"/>
    </xf>
    <xf numFmtId="3" fontId="19" fillId="6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164" fontId="5" fillId="16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164" fontId="5" fillId="18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center" vertical="center"/>
    </xf>
    <xf numFmtId="165" fontId="5" fillId="15" borderId="1" applyAlignment="1" pivotButton="0" quotePrefix="0" xfId="0">
      <alignment horizontal="center" vertical="center"/>
    </xf>
    <xf numFmtId="165" fontId="5" fillId="16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165" fontId="5" fillId="18" borderId="1" applyAlignment="1" pivotButton="0" quotePrefix="0" xfId="0">
      <alignment horizontal="center" vertical="center"/>
    </xf>
    <xf numFmtId="165" fontId="19" fillId="6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164" fontId="7" fillId="16" borderId="1" applyAlignment="1" pivotButton="0" quotePrefix="0" xfId="0">
      <alignment horizontal="center" vertical="center"/>
    </xf>
    <xf numFmtId="164" fontId="7" fillId="17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1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7" borderId="1" pivotButton="0" quotePrefix="0" xfId="0"/>
    <xf numFmtId="0" fontId="20" fillId="6" borderId="1" applyAlignment="1" pivotButton="0" quotePrefix="0" xfId="0">
      <alignment horizontal="left" vertical="center"/>
    </xf>
    <xf numFmtId="0" fontId="21" fillId="11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left" vertical="center" wrapText="1"/>
    </xf>
    <xf numFmtId="0" fontId="24" fillId="9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left" vertical="center"/>
    </xf>
    <xf numFmtId="0" fontId="10" fillId="20" borderId="0" applyAlignment="1" pivotButton="0" quotePrefix="0" xfId="0">
      <alignment horizontal="left" vertical="center"/>
    </xf>
    <xf numFmtId="0" fontId="10" fillId="21" borderId="0" applyAlignment="1" pivotButton="0" quotePrefix="0" xfId="0">
      <alignment horizontal="left" vertical="center"/>
    </xf>
    <xf numFmtId="0" fontId="10" fillId="2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" customWidth="1" min="3" max="3"/>
    <col width="16" customWidth="1" min="4" max="4"/>
    <col width="2" customWidth="1" min="5" max="5"/>
    <col width="16" customWidth="1" min="6" max="6"/>
    <col width="4" customWidth="1" min="7" max="7"/>
    <col width="28" customWidth="1" min="8" max="8"/>
    <col width="2" customWidth="1" min="9" max="9"/>
    <col width="16" customWidth="1" min="10" max="10"/>
    <col width="2" customWidth="1" min="11" max="11"/>
    <col width="16" customWidth="1" min="12" max="12"/>
    <col width="3" customWidth="1" min="13" max="13"/>
  </cols>
  <sheetData>
    <row r="1" ht="44" customHeight="1">
      <c r="A1" s="1" t="inlineStr">
        <is>
          <t>🏠  КРАТКОСРОЧЕН vs ДЪЛГОСРОЧЕН НАЕМ — КАЛКУЛАТОР ЗА ИЗБОР НА СТРАТЕГИЯ</t>
        </is>
      </c>
    </row>
    <row r="2" ht="18" customHeight="1">
      <c r="A2" s="2" t="inlineStr">
        <is>
          <t>Попълни сините полета  →  всички сравнения се изчисляват автоматично</t>
        </is>
      </c>
    </row>
    <row r="3" ht="8" customHeight="1"/>
    <row r="4" ht="34" customHeight="1">
      <c r="B4" s="3" t="inlineStr">
        <is>
          <t>ПАРАМЕТЪР</t>
        </is>
      </c>
      <c r="D4" s="4" t="inlineStr">
        <is>
          <t>КРАТКОСРОЧЕН
(Airbnb/Booking)</t>
        </is>
      </c>
      <c r="F4" s="5" t="inlineStr">
        <is>
          <t>ДЪЛГОСРОЧЕН
(Наем)</t>
        </is>
      </c>
      <c r="I4" s="3" t="inlineStr">
        <is>
          <t>ПАРАМЕТЪР</t>
        </is>
      </c>
      <c r="K4" s="4" t="inlineStr">
        <is>
          <t>КРАТКОСРОЧЕН
(Airbnb/Booking)</t>
        </is>
      </c>
      <c r="M4" s="5" t="inlineStr">
        <is>
          <t>ДЪЛГОСРОЧЕН
(Наем)</t>
        </is>
      </c>
    </row>
    <row r="5" ht="34" customHeight="1"/>
    <row r="6" ht="34" customHeight="1">
      <c r="B6" s="6" t="inlineStr">
        <is>
          <t xml:space="preserve">  А. ДАННИ ЗА ИМОТА</t>
        </is>
      </c>
    </row>
    <row r="7" ht="34" customHeight="1">
      <c r="B7" s="7" t="inlineStr">
        <is>
          <t>Площ (m²)</t>
        </is>
      </c>
      <c r="D7" s="8" t="n"/>
      <c r="F7" s="9" t="n"/>
    </row>
    <row r="8" ht="34" customHeight="1">
      <c r="B8" s="7" t="inlineStr">
        <is>
          <t>Брой стаи</t>
        </is>
      </c>
      <c r="D8" s="8" t="n"/>
      <c r="F8" s="9" t="n"/>
    </row>
    <row r="9" ht="34" customHeight="1">
      <c r="B9" s="7" t="inlineStr">
        <is>
          <t>Покупна цена (лв.)</t>
        </is>
      </c>
      <c r="D9" s="10" t="n"/>
      <c r="F9" s="11" t="n"/>
    </row>
    <row r="10" ht="34" customHeight="1">
      <c r="B10" s="7" t="inlineStr">
        <is>
          <t>Локация — клас (1–5)</t>
        </is>
      </c>
      <c r="D10" s="8" t="n"/>
      <c r="F10" s="9" t="n"/>
    </row>
    <row r="11" ht="34" customHeight="1"/>
    <row r="12" ht="34" customHeight="1">
      <c r="B12" s="12" t="inlineStr">
        <is>
          <t xml:space="preserve">  Б. ПРИХОДИ — КРАТКОСРОЧЕН НАЕМ</t>
        </is>
      </c>
    </row>
    <row r="13" ht="34" customHeight="1">
      <c r="B13" s="7" t="inlineStr">
        <is>
          <t>Нощувки цена (лв./нощ)</t>
        </is>
      </c>
      <c r="D13" s="10" t="n">
        <v>80</v>
      </c>
      <c r="F13" s="13" t="n"/>
    </row>
    <row r="14" ht="34" customHeight="1">
      <c r="B14" s="7" t="inlineStr">
        <is>
          <t>Заетост % (средногодишно)</t>
        </is>
      </c>
      <c r="D14" s="14" t="n">
        <v>65</v>
      </c>
      <c r="F14" s="13" t="n"/>
    </row>
    <row r="15" ht="34" customHeight="1">
      <c r="B15" s="7" t="inlineStr">
        <is>
          <t>Нощувки/год. (изч.)</t>
        </is>
      </c>
      <c r="D15" s="15">
        <f>ROUND(365*D14/100,0)</f>
        <v/>
      </c>
      <c r="F15" s="13" t="n"/>
    </row>
    <row r="16" ht="18" customHeight="1">
      <c r="B16" s="7" t="inlineStr">
        <is>
          <t>Такса почистване (лв./нощувка)</t>
        </is>
      </c>
      <c r="D16" s="10" t="n">
        <v>40</v>
      </c>
      <c r="F16" s="13" t="n"/>
    </row>
    <row r="17" ht="18" customHeight="1">
      <c r="B17" s="7" t="inlineStr">
        <is>
          <t>Брой почиствания/год. (изч.)</t>
        </is>
      </c>
      <c r="D17" s="15">
        <f>IFERROR(D15/3,0)</f>
        <v/>
      </c>
      <c r="F17" s="13" t="n"/>
    </row>
    <row r="18" ht="18" customHeight="1">
      <c r="B18" s="7" t="inlineStr">
        <is>
          <t>Брутен приход — нощувки (лв./год.)</t>
        </is>
      </c>
      <c r="D18" s="16">
        <f>D13*D15</f>
        <v/>
      </c>
      <c r="F18" s="13" t="n"/>
    </row>
    <row r="19" ht="18" customHeight="1">
      <c r="B19" s="7" t="inlineStr">
        <is>
          <t>Брутен приход — почиств. (лв./год.)</t>
        </is>
      </c>
      <c r="D19" s="16">
        <f>D16*D17</f>
        <v/>
      </c>
      <c r="F19" s="13" t="n"/>
    </row>
    <row r="20" ht="18" customHeight="1">
      <c r="B20" s="17" t="inlineStr">
        <is>
          <t>БРУТЕН ПРИХОД ОБЩО (лв./год.)</t>
        </is>
      </c>
      <c r="D20" s="18">
        <f>D18+D19</f>
        <v/>
      </c>
      <c r="F20" s="13" t="n"/>
    </row>
    <row r="21" ht="6" customHeight="1"/>
    <row r="22" ht="22" customHeight="1">
      <c r="B22" s="19" t="inlineStr">
        <is>
          <t xml:space="preserve">  В. ПРИХОДИ — ДЪЛГОСРОЧЕН НАЕМ</t>
        </is>
      </c>
    </row>
    <row r="23" ht="18" customHeight="1">
      <c r="B23" s="7" t="inlineStr">
        <is>
          <t>Месечен наем (лв.)</t>
        </is>
      </c>
      <c r="D23" s="13" t="n"/>
      <c r="F23" s="11" t="n"/>
    </row>
    <row r="24" ht="18" customHeight="1">
      <c r="B24" s="7" t="inlineStr">
        <is>
          <t>Свободни месеци/год. (ротация)</t>
        </is>
      </c>
      <c r="D24" s="13" t="n"/>
      <c r="F24" s="20" t="n">
        <v>1</v>
      </c>
    </row>
    <row r="25" ht="18" customHeight="1">
      <c r="B25" s="7" t="inlineStr">
        <is>
          <t>Активни наемни месеци (изч.)</t>
        </is>
      </c>
      <c r="D25" s="13" t="n"/>
      <c r="F25" s="21">
        <f>12-F24</f>
        <v/>
      </c>
    </row>
    <row r="26" ht="18" customHeight="1">
      <c r="B26" s="22" t="inlineStr">
        <is>
          <t>БРУТЕН ПРИХОД ОБЩО (лв./год.)</t>
        </is>
      </c>
      <c r="D26" s="13" t="n"/>
      <c r="F26" s="23">
        <f>F23*F25</f>
        <v/>
      </c>
    </row>
    <row r="27" ht="8" customHeight="1"/>
    <row r="28" ht="8" customHeight="1"/>
    <row r="29" ht="22" customHeight="1">
      <c r="H29" s="24" t="inlineStr">
        <is>
          <t>Г. РАЗХОДИ — ГОДИШНИ</t>
        </is>
      </c>
      <c r="I29" s="24" t="inlineStr">
        <is>
          <t>ПАРАМЕТЪР</t>
        </is>
      </c>
      <c r="K29" s="25" t="inlineStr">
        <is>
          <t>КРАТКОСРОЧЕН</t>
        </is>
      </c>
      <c r="M29" s="26" t="inlineStr">
        <is>
          <t>ДЪЛГОСРОЧЕН</t>
        </is>
      </c>
    </row>
    <row r="30" ht="18" customHeight="1">
      <c r="I30" s="7" t="inlineStr">
        <is>
          <t>Платформа — комисионна %</t>
        </is>
      </c>
      <c r="K30" s="27" t="n">
        <v>15</v>
      </c>
      <c r="M30" s="28" t="n">
        <v>0</v>
      </c>
    </row>
    <row r="31" ht="18" customHeight="1">
      <c r="I31" s="7" t="inlineStr">
        <is>
          <t xml:space="preserve">       → Ком. платформа (лв.)</t>
        </is>
      </c>
      <c r="K31" s="29">
        <f>K30/100*D20</f>
        <v/>
      </c>
      <c r="M31" s="29">
        <f>M30/100*F26</f>
        <v/>
      </c>
    </row>
    <row r="32" ht="18" customHeight="1">
      <c r="I32" s="7" t="inlineStr">
        <is>
          <t>Почистване / домакиня (лв.)</t>
        </is>
      </c>
      <c r="K32" s="10" t="n"/>
      <c r="M32" s="11" t="n">
        <v>0</v>
      </c>
    </row>
    <row r="33" ht="18" customHeight="1">
      <c r="I33" s="7" t="inlineStr">
        <is>
          <t>Консуматив (лв./год.)</t>
        </is>
      </c>
      <c r="K33" s="10" t="n"/>
      <c r="M33" s="11" t="n">
        <v>0</v>
      </c>
    </row>
    <row r="34" ht="18" customHeight="1">
      <c r="I34" s="7" t="inlineStr">
        <is>
          <t>Ток + вода + интернет (лв./год.)</t>
        </is>
      </c>
      <c r="K34" s="10" t="n"/>
      <c r="M34" s="11" t="n"/>
    </row>
    <row r="35" ht="18" customHeight="1">
      <c r="I35" s="7" t="inlineStr">
        <is>
          <t>Управление (агент) %</t>
        </is>
      </c>
      <c r="K35" s="27" t="n">
        <v>0</v>
      </c>
      <c r="M35" s="28" t="n">
        <v>8</v>
      </c>
    </row>
    <row r="36" ht="18" customHeight="1">
      <c r="I36" s="7" t="inlineStr">
        <is>
          <t xml:space="preserve">       → Разход управление (лв.)</t>
        </is>
      </c>
      <c r="K36" s="29">
        <f>K35/100*D20</f>
        <v/>
      </c>
      <c r="M36" s="29">
        <f>M35/100*F26</f>
        <v/>
      </c>
    </row>
    <row r="37" ht="18" customHeight="1">
      <c r="I37" s="7" t="inlineStr">
        <is>
          <t>Застраховка (лв./год.)</t>
        </is>
      </c>
      <c r="K37" s="10" t="n"/>
      <c r="M37" s="11" t="n"/>
    </row>
    <row r="38" ht="18" customHeight="1">
      <c r="I38" s="7" t="inlineStr">
        <is>
          <t>Данък имот (лв./год.)</t>
        </is>
      </c>
      <c r="K38" s="10" t="n"/>
      <c r="M38" s="11" t="n"/>
    </row>
    <row r="39" ht="18" customHeight="1">
      <c r="I39" s="7" t="inlineStr">
        <is>
          <t>Ремонт / поддръжка (лв./год.)</t>
        </is>
      </c>
      <c r="K39" s="10" t="n"/>
      <c r="M39" s="11" t="n"/>
    </row>
    <row r="40" ht="18" customHeight="1">
      <c r="I40" s="7" t="inlineStr">
        <is>
          <t>Обзавеждане — амортизация (лв.)</t>
        </is>
      </c>
      <c r="K40" s="10" t="n"/>
      <c r="M40" s="11" t="n">
        <v>0</v>
      </c>
    </row>
    <row r="41" ht="18" customHeight="1">
      <c r="I41" s="7" t="inlineStr">
        <is>
          <t>Такса Etажна собственост (лв.)</t>
        </is>
      </c>
      <c r="K41" s="10" t="n"/>
      <c r="M41" s="11" t="n"/>
    </row>
    <row r="42" ht="18" customHeight="1">
      <c r="I42" s="30" t="inlineStr">
        <is>
          <t>Данък доходи (10%) — изч.</t>
        </is>
      </c>
      <c r="K42" s="31">
        <f>0.1*MAX(0,D20-K31-K32-K33-K34-K36-K37-K38-K39-K40-K41)</f>
        <v/>
      </c>
      <c r="M42" s="32">
        <f>0.1*MAX(0,F26-M31-M32-M33-M34-M36-M37-M38-M39-M40-M41)</f>
        <v/>
      </c>
    </row>
    <row r="43" ht="18" customHeight="1">
      <c r="I43" s="17" t="inlineStr">
        <is>
          <t>ОБЩО РАЗХОДИ (лв./год.)</t>
        </is>
      </c>
      <c r="K43" s="18">
        <f>SUM(K31,K32,K33,K34,K36,K37,K38,K39,K40,K41,K42)</f>
        <v/>
      </c>
      <c r="M43" s="23">
        <f>SUM(M31,M32,M33,M34,M36,M37,M38,M39,M40,M41,M42)</f>
        <v/>
      </c>
    </row>
    <row r="44" ht="8" customHeight="1"/>
    <row r="45" ht="24" customHeight="1">
      <c r="B45" s="6" t="inlineStr">
        <is>
          <t xml:space="preserve">  Д. НЕТЕН ГОДИШЕН ПРИХОД &amp; ДОХОДНОСТ</t>
        </is>
      </c>
    </row>
    <row r="46" ht="18" customHeight="1">
      <c r="B46" s="7" t="inlineStr">
        <is>
          <t>Брутен приход (лв./год.)</t>
        </is>
      </c>
      <c r="H46" s="29">
        <f>D20</f>
        <v/>
      </c>
      <c r="L46" s="29">
        <f>F26</f>
        <v/>
      </c>
    </row>
    <row r="47" ht="18" customHeight="1">
      <c r="B47" s="7" t="inlineStr">
        <is>
          <t>Общо разходи (лв./год.)</t>
        </is>
      </c>
      <c r="H47" s="29">
        <f>K43</f>
        <v/>
      </c>
      <c r="L47" s="29">
        <f>M43</f>
        <v/>
      </c>
    </row>
    <row r="48" ht="22" customHeight="1">
      <c r="B48" s="33" t="inlineStr">
        <is>
          <t>НЕТЕН ДОХОД (лв./год.)  ★</t>
        </is>
      </c>
      <c r="H48" s="34">
        <f>D20-K43</f>
        <v/>
      </c>
      <c r="L48" s="35">
        <f>F26-M43</f>
        <v/>
      </c>
    </row>
    <row r="49" ht="18" customHeight="1">
      <c r="B49" s="7" t="inlineStr">
        <is>
          <t>Нетен доход (лв./мес.)</t>
        </is>
      </c>
      <c r="H49" s="29">
        <f>(D20-K43)/12</f>
        <v/>
      </c>
      <c r="L49" s="29">
        <f>(F26-M43)/12</f>
        <v/>
      </c>
    </row>
    <row r="50" ht="18" customHeight="1">
      <c r="B50" s="7" t="inlineStr">
        <is>
          <t>Доходност бруто % (върху покупна цена)</t>
        </is>
      </c>
      <c r="H50" s="36">
        <f>IF(D9&gt;0,D20/D9*100,"")</f>
        <v/>
      </c>
      <c r="L50" s="37">
        <f>IF(F9&gt;0,F26/F9*100,"")</f>
        <v/>
      </c>
    </row>
    <row r="51" ht="18" customHeight="1">
      <c r="B51" s="7" t="inlineStr">
        <is>
          <t>Доходност нето % (върху покупна цена)</t>
        </is>
      </c>
      <c r="H51" s="38">
        <f>IF(D9&gt;0,(D20-K43)/D9*100,"")</f>
        <v/>
      </c>
      <c r="L51" s="38">
        <f>IF(F9&gt;0,(F26-M43)/F9*100,"")</f>
        <v/>
      </c>
    </row>
    <row r="52" ht="18" customHeight="1">
      <c r="B52" s="7" t="inlineStr">
        <is>
          <t>Разход % от брутния приход</t>
        </is>
      </c>
      <c r="H52" s="38">
        <f>IF(D20&gt;0,K43/D20*100,"")</f>
        <v/>
      </c>
      <c r="L52" s="38">
        <f>IF(F26&gt;0,M43/F26*100,"")</f>
        <v/>
      </c>
    </row>
    <row r="53" ht="18" customHeight="1">
      <c r="B53" s="7" t="inlineStr">
        <is>
          <t>Разлика нетен доход (ST − LT) лв./год.</t>
        </is>
      </c>
      <c r="H53" s="39">
        <f>H48-L48</f>
        <v/>
      </c>
    </row>
    <row r="54" ht="8" customHeight="1"/>
    <row r="55" ht="32" customHeight="1">
      <c r="B55" s="40" t="inlineStr">
        <is>
          <t>ПРЕПОРЪКА:</t>
        </is>
      </c>
      <c r="H55" s="41">
        <f>IF(H48="","въведи данни",IF(H48&gt;L48,"✅ КРАТКОСРОЧЕН печели повече с "&amp;TEXT(H48-L48,"#,##0")&amp;" лв./год.","✅ ДЪЛГОСРОЧЕН печели повече с "&amp;TEXT(L48-H48,"#,##0")&amp;" лв./год."))</f>
        <v/>
      </c>
    </row>
  </sheetData>
  <mergeCells count="34">
    <mergeCell ref="D4"/>
    <mergeCell ref="L50:O50"/>
    <mergeCell ref="H47:K47"/>
    <mergeCell ref="H48:K48"/>
    <mergeCell ref="B22:F22"/>
    <mergeCell ref="L46:O46"/>
    <mergeCell ref="L52:O52"/>
    <mergeCell ref="B53:G53"/>
    <mergeCell ref="L49:O49"/>
    <mergeCell ref="B4"/>
    <mergeCell ref="B12:F12"/>
    <mergeCell ref="F4"/>
    <mergeCell ref="L48:O48"/>
    <mergeCell ref="B49:G49"/>
    <mergeCell ref="B55:G55"/>
    <mergeCell ref="H50:K50"/>
    <mergeCell ref="B51:G51"/>
    <mergeCell ref="L47:O47"/>
    <mergeCell ref="A1:M1"/>
    <mergeCell ref="B50:G50"/>
    <mergeCell ref="H46:K46"/>
    <mergeCell ref="H53:M53"/>
    <mergeCell ref="A2:M2"/>
    <mergeCell ref="H49:K49"/>
    <mergeCell ref="H51:K51"/>
    <mergeCell ref="B47:G47"/>
    <mergeCell ref="B6:F6"/>
    <mergeCell ref="B46:G46"/>
    <mergeCell ref="H52:K52"/>
    <mergeCell ref="H55:M55"/>
    <mergeCell ref="L51:O51"/>
    <mergeCell ref="B52:G52"/>
    <mergeCell ref="B48:G48"/>
    <mergeCell ref="B45:L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8" customHeight="1">
      <c r="A1" s="42" t="inlineStr">
        <is>
          <t>📅  СЕЗОНЕН ПЛАН ЗА КРАТКОСРОЧЕН НАЕМ — МЕСЕЧЕН BREAKDOWN</t>
        </is>
      </c>
    </row>
    <row r="2" ht="18" customHeight="1">
      <c r="A2" s="43" t="inlineStr">
        <is>
          <t>Задай различни цени и заетост по сезон → виж точно кога и колко изкарваш</t>
        </is>
      </c>
    </row>
    <row r="3" ht="8" customHeight="1"/>
    <row r="4" ht="22" customHeight="1">
      <c r="A4" s="44" t="inlineStr"/>
      <c r="B4" s="24" t="inlineStr">
        <is>
          <t>ПАРАМЕТЪР</t>
        </is>
      </c>
      <c r="C4" s="45" t="inlineStr">
        <is>
          <t>ЯНУ</t>
        </is>
      </c>
      <c r="D4" s="45" t="inlineStr">
        <is>
          <t>ФЕВ</t>
        </is>
      </c>
      <c r="E4" s="46" t="inlineStr">
        <is>
          <t>МАР</t>
        </is>
      </c>
      <c r="F4" s="46" t="inlineStr">
        <is>
          <t>АПР</t>
        </is>
      </c>
      <c r="G4" s="46" t="inlineStr">
        <is>
          <t>МАЙ</t>
        </is>
      </c>
      <c r="H4" s="47" t="inlineStr">
        <is>
          <t>ЮНИ</t>
        </is>
      </c>
      <c r="I4" s="47" t="inlineStr">
        <is>
          <t>ЮЛИ</t>
        </is>
      </c>
      <c r="J4" s="47" t="inlineStr">
        <is>
          <t>АВГ</t>
        </is>
      </c>
      <c r="K4" s="48" t="inlineStr">
        <is>
          <t>СЕП</t>
        </is>
      </c>
      <c r="L4" s="48" t="inlineStr">
        <is>
          <t>ОКТ</t>
        </is>
      </c>
      <c r="M4" s="45" t="inlineStr">
        <is>
          <t>НОЕ</t>
        </is>
      </c>
      <c r="N4" s="45" t="inlineStr">
        <is>
          <t>ДЕК</t>
        </is>
      </c>
      <c r="O4" s="49" t="inlineStr">
        <is>
          <t>ОБЩО/ГОД.</t>
        </is>
      </c>
    </row>
    <row r="5" ht="18" customHeight="1">
      <c r="A5" s="50" t="n"/>
      <c r="B5" s="7" t="inlineStr">
        <is>
          <t>Дни в месеца</t>
        </is>
      </c>
      <c r="C5" s="51" t="n"/>
      <c r="D5" s="51" t="n"/>
      <c r="E5" s="52" t="n"/>
      <c r="F5" s="52" t="n"/>
      <c r="G5" s="52" t="n"/>
      <c r="H5" s="53" t="n"/>
      <c r="I5" s="53" t="n"/>
      <c r="J5" s="53" t="n"/>
      <c r="K5" s="54" t="n"/>
      <c r="L5" s="54" t="n"/>
      <c r="M5" s="51" t="n"/>
      <c r="N5" s="51" t="n"/>
      <c r="O5" s="55">
        <f>SUM(C5+D5+E5+F5+G5+H5+I5+J5+K5+L5+M5+N5)</f>
        <v/>
      </c>
    </row>
    <row r="6" ht="18" customHeight="1">
      <c r="A6" s="50" t="n"/>
      <c r="B6" s="7" t="inlineStr">
        <is>
          <t>Цена нощувка (лв.)</t>
        </is>
      </c>
      <c r="C6" s="56" t="n">
        <v>55</v>
      </c>
      <c r="D6" s="56" t="n">
        <v>55</v>
      </c>
      <c r="E6" s="57" t="n">
        <v>60</v>
      </c>
      <c r="F6" s="57" t="n">
        <v>70</v>
      </c>
      <c r="G6" s="57" t="n">
        <v>80</v>
      </c>
      <c r="H6" s="58" t="n">
        <v>120</v>
      </c>
      <c r="I6" s="58" t="n">
        <v>150</v>
      </c>
      <c r="J6" s="58" t="n">
        <v>150</v>
      </c>
      <c r="K6" s="59" t="n">
        <v>90</v>
      </c>
      <c r="L6" s="59" t="n">
        <v>70</v>
      </c>
      <c r="M6" s="56" t="n">
        <v>55</v>
      </c>
      <c r="N6" s="56" t="n">
        <v>60</v>
      </c>
      <c r="O6" s="60">
        <f>SUM(C6+D6+E6+F6+G6+H6+I6+J6+K6+L6+M6+N6)</f>
        <v/>
      </c>
    </row>
    <row r="7" ht="18" customHeight="1">
      <c r="A7" s="50" t="n"/>
      <c r="B7" s="7" t="inlineStr">
        <is>
          <t>Заетост %</t>
        </is>
      </c>
      <c r="C7" s="61" t="n">
        <v>40</v>
      </c>
      <c r="D7" s="61" t="n">
        <v>45</v>
      </c>
      <c r="E7" s="62" t="n">
        <v>50</v>
      </c>
      <c r="F7" s="62" t="n">
        <v>60</v>
      </c>
      <c r="G7" s="62" t="n">
        <v>70</v>
      </c>
      <c r="H7" s="63" t="n">
        <v>80</v>
      </c>
      <c r="I7" s="63" t="n">
        <v>90</v>
      </c>
      <c r="J7" s="63" t="n">
        <v>90</v>
      </c>
      <c r="K7" s="64" t="n">
        <v>75</v>
      </c>
      <c r="L7" s="64" t="n">
        <v>60</v>
      </c>
      <c r="M7" s="61" t="n">
        <v>45</v>
      </c>
      <c r="N7" s="61" t="n">
        <v>40</v>
      </c>
      <c r="O7" s="65" t="n"/>
    </row>
    <row r="8" ht="18" customHeight="1">
      <c r="A8" s="50" t="n"/>
      <c r="B8" s="7" t="inlineStr">
        <is>
          <t>Нощувки (изч.)</t>
        </is>
      </c>
      <c r="C8" s="51">
        <f>ROUND(C5*C7/100,0)</f>
        <v/>
      </c>
      <c r="D8" s="51">
        <f>ROUND(D5*D7/100,0)</f>
        <v/>
      </c>
      <c r="E8" s="52">
        <f>ROUND(E5*E7/100,0)</f>
        <v/>
      </c>
      <c r="F8" s="52">
        <f>ROUND(F5*F7/100,0)</f>
        <v/>
      </c>
      <c r="G8" s="52">
        <f>ROUND(G5*G7/100,0)</f>
        <v/>
      </c>
      <c r="H8" s="53">
        <f>ROUND(H5*H7/100,0)</f>
        <v/>
      </c>
      <c r="I8" s="53">
        <f>ROUND(I5*I7/100,0)</f>
        <v/>
      </c>
      <c r="J8" s="53">
        <f>ROUND(J5*J7/100,0)</f>
        <v/>
      </c>
      <c r="K8" s="54">
        <f>ROUND(K5*K7/100,0)</f>
        <v/>
      </c>
      <c r="L8" s="54">
        <f>ROUND(L5*L7/100,0)</f>
        <v/>
      </c>
      <c r="M8" s="51">
        <f>ROUND(M5*M7/100,0)</f>
        <v/>
      </c>
      <c r="N8" s="51">
        <f>ROUND(N5*N7/100,0)</f>
        <v/>
      </c>
      <c r="O8" s="55">
        <f>SUM(C8+D8+E8+F8+G8+H8+I8+J8+K8+L8+M8+N8)</f>
        <v/>
      </c>
    </row>
    <row r="9" ht="18" customHeight="1">
      <c r="A9" s="50" t="n"/>
      <c r="B9" s="7" t="inlineStr">
        <is>
          <t>Брутен приход нощувки (лв.)</t>
        </is>
      </c>
      <c r="C9" s="66">
        <f>C8*C6</f>
        <v/>
      </c>
      <c r="D9" s="66">
        <f>D8*D6</f>
        <v/>
      </c>
      <c r="E9" s="67">
        <f>E8*E6</f>
        <v/>
      </c>
      <c r="F9" s="67">
        <f>F8*F6</f>
        <v/>
      </c>
      <c r="G9" s="67">
        <f>G8*G6</f>
        <v/>
      </c>
      <c r="H9" s="68">
        <f>H8*H6</f>
        <v/>
      </c>
      <c r="I9" s="68">
        <f>I8*I6</f>
        <v/>
      </c>
      <c r="J9" s="68">
        <f>J8*J6</f>
        <v/>
      </c>
      <c r="K9" s="69">
        <f>K8*K6</f>
        <v/>
      </c>
      <c r="L9" s="69">
        <f>L8*L6</f>
        <v/>
      </c>
      <c r="M9" s="66">
        <f>M8*M6</f>
        <v/>
      </c>
      <c r="N9" s="66">
        <f>N8*N6</f>
        <v/>
      </c>
      <c r="O9" s="60">
        <f>SUM(C9+D9+E9+F9+G9+H9+I9+J9+K9+L9+M9+N9)</f>
        <v/>
      </c>
    </row>
    <row r="10" ht="18" customHeight="1">
      <c r="A10" s="50" t="n"/>
      <c r="B10" s="7" t="inlineStr">
        <is>
          <t>Почистване (лв./почиств.)</t>
        </is>
      </c>
      <c r="C10" s="56" t="n">
        <v>40</v>
      </c>
      <c r="D10" s="56" t="n">
        <v>40</v>
      </c>
      <c r="E10" s="57" t="n">
        <v>40</v>
      </c>
      <c r="F10" s="57" t="n">
        <v>40</v>
      </c>
      <c r="G10" s="57" t="n">
        <v>40</v>
      </c>
      <c r="H10" s="58" t="n">
        <v>40</v>
      </c>
      <c r="I10" s="58" t="n">
        <v>40</v>
      </c>
      <c r="J10" s="58" t="n">
        <v>40</v>
      </c>
      <c r="K10" s="59" t="n">
        <v>40</v>
      </c>
      <c r="L10" s="59" t="n">
        <v>40</v>
      </c>
      <c r="M10" s="56" t="n">
        <v>40</v>
      </c>
      <c r="N10" s="56" t="n">
        <v>40</v>
      </c>
      <c r="O10" s="60">
        <f>SUM(C10+D10+E10+F10+G10+H10+I10+J10+K10+L10+M10+N10)</f>
        <v/>
      </c>
    </row>
    <row r="11" ht="18" customHeight="1">
      <c r="A11" s="50" t="n"/>
      <c r="B11" s="7" t="inlineStr">
        <is>
          <t>Прих. почиств. (изч.) (лв.)</t>
        </is>
      </c>
      <c r="C11" s="66">
        <f>ROUND(C8/3,0)*C10</f>
        <v/>
      </c>
      <c r="D11" s="66">
        <f>ROUND(D8/3,0)*D10</f>
        <v/>
      </c>
      <c r="E11" s="67">
        <f>ROUND(E8/3,0)*E10</f>
        <v/>
      </c>
      <c r="F11" s="67">
        <f>ROUND(F8/3,0)*F10</f>
        <v/>
      </c>
      <c r="G11" s="67">
        <f>ROUND(G8/3,0)*G10</f>
        <v/>
      </c>
      <c r="H11" s="68">
        <f>ROUND(H8/3,0)*H10</f>
        <v/>
      </c>
      <c r="I11" s="68">
        <f>ROUND(I8/3,0)*I10</f>
        <v/>
      </c>
      <c r="J11" s="68">
        <f>ROUND(J8/3,0)*J10</f>
        <v/>
      </c>
      <c r="K11" s="69">
        <f>ROUND(K8/3,0)*K10</f>
        <v/>
      </c>
      <c r="L11" s="69">
        <f>ROUND(L8/3,0)*L10</f>
        <v/>
      </c>
      <c r="M11" s="66">
        <f>ROUND(M8/3,0)*M10</f>
        <v/>
      </c>
      <c r="N11" s="66">
        <f>ROUND(N8/3,0)*N10</f>
        <v/>
      </c>
      <c r="O11" s="60">
        <f>SUM(C11+D11+E11+F11+G11+H11+I11+J11+K11+L11+M11+N11)</f>
        <v/>
      </c>
    </row>
    <row r="12" ht="18" customHeight="1">
      <c r="A12" s="44" t="n"/>
      <c r="B12" s="24" t="inlineStr">
        <is>
          <t>ОБЩО ПРИХОД (лв.)</t>
        </is>
      </c>
      <c r="C12" s="70">
        <f>C9+C11</f>
        <v/>
      </c>
      <c r="D12" s="70">
        <f>D9+D11</f>
        <v/>
      </c>
      <c r="E12" s="70">
        <f>E9+E11</f>
        <v/>
      </c>
      <c r="F12" s="70">
        <f>F9+F11</f>
        <v/>
      </c>
      <c r="G12" s="70">
        <f>G9+G11</f>
        <v/>
      </c>
      <c r="H12" s="70">
        <f>H9+H11</f>
        <v/>
      </c>
      <c r="I12" s="70">
        <f>I9+I11</f>
        <v/>
      </c>
      <c r="J12" s="70">
        <f>J9+J11</f>
        <v/>
      </c>
      <c r="K12" s="70">
        <f>K9+K11</f>
        <v/>
      </c>
      <c r="L12" s="70">
        <f>L9+L11</f>
        <v/>
      </c>
      <c r="M12" s="70">
        <f>M9+M11</f>
        <v/>
      </c>
      <c r="N12" s="70">
        <f>N9+N11</f>
        <v/>
      </c>
      <c r="O12" s="71">
        <f>SUM(C12+D12+E12+F12+G12+H12+I12+J12+K12+L12+M12+N12)</f>
        <v/>
      </c>
    </row>
    <row r="13" ht="18" customHeight="1">
      <c r="A13" s="50" t="n"/>
      <c r="B13" s="7" t="inlineStr">
        <is>
          <t>Разходи платформа 15% (лв.)</t>
        </is>
      </c>
      <c r="C13" s="66">
        <f>C12*0.15</f>
        <v/>
      </c>
      <c r="D13" s="66">
        <f>D12*0.15</f>
        <v/>
      </c>
      <c r="E13" s="67">
        <f>E12*0.15</f>
        <v/>
      </c>
      <c r="F13" s="67">
        <f>F12*0.15</f>
        <v/>
      </c>
      <c r="G13" s="67">
        <f>G12*0.15</f>
        <v/>
      </c>
      <c r="H13" s="68">
        <f>H12*0.15</f>
        <v/>
      </c>
      <c r="I13" s="68">
        <f>I12*0.15</f>
        <v/>
      </c>
      <c r="J13" s="68">
        <f>J12*0.15</f>
        <v/>
      </c>
      <c r="K13" s="69">
        <f>K12*0.15</f>
        <v/>
      </c>
      <c r="L13" s="69">
        <f>L12*0.15</f>
        <v/>
      </c>
      <c r="M13" s="66">
        <f>M12*0.15</f>
        <v/>
      </c>
      <c r="N13" s="66">
        <f>N12*0.15</f>
        <v/>
      </c>
      <c r="O13" s="60">
        <f>SUM(C13+D13+E13+F13+G13+H13+I13+J13+K13+L13+M13+N13)</f>
        <v/>
      </c>
    </row>
    <row r="14" ht="18" customHeight="1">
      <c r="A14" s="50" t="n"/>
      <c r="B14" s="7" t="inlineStr">
        <is>
          <t>Разходи режийни (лв.)</t>
        </is>
      </c>
      <c r="C14" s="56" t="n">
        <v>80</v>
      </c>
      <c r="D14" s="56" t="n">
        <v>80</v>
      </c>
      <c r="E14" s="57" t="n">
        <v>80</v>
      </c>
      <c r="F14" s="57" t="n">
        <v>80</v>
      </c>
      <c r="G14" s="57" t="n">
        <v>100</v>
      </c>
      <c r="H14" s="58" t="n">
        <v>120</v>
      </c>
      <c r="I14" s="58" t="n">
        <v>120</v>
      </c>
      <c r="J14" s="58" t="n">
        <v>120</v>
      </c>
      <c r="K14" s="59" t="n">
        <v>100</v>
      </c>
      <c r="L14" s="59" t="n">
        <v>80</v>
      </c>
      <c r="M14" s="56" t="n">
        <v>80</v>
      </c>
      <c r="N14" s="56" t="n">
        <v>80</v>
      </c>
      <c r="O14" s="60">
        <f>SUM(C14+D14+E14+F14+G14+H14+I14+J14+K14+L14+M14+N14)</f>
        <v/>
      </c>
    </row>
    <row r="15" ht="18" customHeight="1">
      <c r="A15" s="72" t="n"/>
      <c r="B15" s="73" t="inlineStr">
        <is>
          <t>НЕТЕН ПРИХОД (лв.)</t>
        </is>
      </c>
      <c r="C15" s="74">
        <f>C12-C13-C14</f>
        <v/>
      </c>
      <c r="D15" s="74">
        <f>D12-D13-D14</f>
        <v/>
      </c>
      <c r="E15" s="74">
        <f>E12-E13-E14</f>
        <v/>
      </c>
      <c r="F15" s="74">
        <f>F12-F13-F14</f>
        <v/>
      </c>
      <c r="G15" s="74">
        <f>G12-G13-G14</f>
        <v/>
      </c>
      <c r="H15" s="74">
        <f>H12-H13-H14</f>
        <v/>
      </c>
      <c r="I15" s="74">
        <f>I12-I13-I14</f>
        <v/>
      </c>
      <c r="J15" s="74">
        <f>J12-J13-J14</f>
        <v/>
      </c>
      <c r="K15" s="74">
        <f>K12-K13-K14</f>
        <v/>
      </c>
      <c r="L15" s="74">
        <f>L12-L13-L14</f>
        <v/>
      </c>
      <c r="M15" s="74">
        <f>M12-M13-M14</f>
        <v/>
      </c>
      <c r="N15" s="74">
        <f>N12-N13-N14</f>
        <v/>
      </c>
      <c r="O15" s="74">
        <f>SUM(C15+D15+E15+F15+G15+H15+I15+J15+K15+L15+M15+N15)</f>
        <v/>
      </c>
    </row>
    <row r="16" ht="8" customHeight="1"/>
    <row r="17" ht="18" customHeight="1">
      <c r="C17" s="45" t="inlineStr">
        <is>
          <t>ЗИМА (ниски цени)</t>
        </is>
      </c>
      <c r="F17" s="46" t="inlineStr">
        <is>
          <t>ПРОЛЕТ (средни)</t>
        </is>
      </c>
      <c r="I17" s="47" t="inlineStr">
        <is>
          <t>ЛЯТО (пик)</t>
        </is>
      </c>
      <c r="L17" s="48" t="inlineStr">
        <is>
          <t>ЕСЕН (средни)</t>
        </is>
      </c>
    </row>
  </sheetData>
  <mergeCells count="6">
    <mergeCell ref="A2:O2"/>
    <mergeCell ref="A1:O1"/>
    <mergeCell ref="C17:E17"/>
    <mergeCell ref="I17:K17"/>
    <mergeCell ref="F17:H17"/>
    <mergeCell ref="L17:N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4" customWidth="1" min="4" max="4"/>
    <col width="22" customWidth="1" min="5" max="5"/>
    <col width="3" customWidth="1" min="6" max="6"/>
  </cols>
  <sheetData>
    <row r="1" ht="38" customHeight="1">
      <c r="A1" s="75" t="inlineStr">
        <is>
          <t>⚖️  РИСКОВА МАТРИЦА — КРАТКОСРОЧЕН vs ДЪЛГОСРОЧЕН НАЕМ</t>
        </is>
      </c>
    </row>
    <row r="2" ht="8" customHeight="1"/>
    <row r="3" ht="24" customHeight="1">
      <c r="B3" s="76" t="inlineStr">
        <is>
          <t>КРИТЕРИЙ</t>
        </is>
      </c>
      <c r="C3" s="77" t="inlineStr">
        <is>
          <t>КРАТКОСРОЧЕН</t>
        </is>
      </c>
      <c r="E3" s="78" t="inlineStr">
        <is>
          <t>ДЪЛГОСРОЧЕН</t>
        </is>
      </c>
    </row>
    <row r="4">
      <c r="A4" s="79" t="n"/>
      <c r="B4" s="80" t="inlineStr">
        <is>
          <t>Очакван доход</t>
        </is>
      </c>
      <c r="C4" s="81" t="inlineStr">
        <is>
          <t>По-висок при добра заетост
(+30–80% vs дългосрочен)</t>
        </is>
      </c>
      <c r="D4" s="50" t="n"/>
      <c r="E4" s="81" t="inlineStr">
        <is>
          <t>Предвидим и стабилен</t>
        </is>
      </c>
      <c r="F4" s="79" t="n"/>
    </row>
    <row r="5">
      <c r="A5" s="79" t="n"/>
      <c r="B5" s="80" t="inlineStr">
        <is>
          <t>Постоянство на приходите</t>
        </is>
      </c>
      <c r="C5" s="82" t="inlineStr">
        <is>
          <t>Непостоянен — зависи от сезон,
конкуренция, алгоритъм</t>
        </is>
      </c>
      <c r="D5" s="50" t="n"/>
      <c r="E5" s="81" t="inlineStr">
        <is>
          <t>Стабилен — фиксиран наем
всеки месец</t>
        </is>
      </c>
      <c r="F5" s="79" t="n"/>
    </row>
    <row r="6">
      <c r="A6" s="79" t="n"/>
      <c r="B6" s="80" t="inlineStr">
        <is>
          <t>Управленска тежест</t>
        </is>
      </c>
      <c r="C6" s="82" t="inlineStr">
        <is>
          <t>ВИСОКА — комуникация,
почистване, check-in/out, снимки</t>
        </is>
      </c>
      <c r="D6" s="50" t="n"/>
      <c r="E6" s="81" t="inlineStr">
        <is>
          <t>НИСКА — 1 комуникация/месец,
обновяване веднъж в 2–3 год.</t>
        </is>
      </c>
      <c r="F6" s="79" t="n"/>
    </row>
    <row r="7">
      <c r="A7" s="79" t="n"/>
      <c r="B7" s="80" t="inlineStr">
        <is>
          <t>Разходи за поддръжка</t>
        </is>
      </c>
      <c r="C7" s="83" t="inlineStr">
        <is>
          <t>По-високи — честа употреба,
бързо износване на мебели</t>
        </is>
      </c>
      <c r="D7" s="50" t="n"/>
      <c r="E7" s="81" t="inlineStr">
        <is>
          <t>По-ниски — по-малко износване,
наемателят носи отговорност</t>
        </is>
      </c>
      <c r="F7" s="79" t="n"/>
    </row>
    <row r="8">
      <c r="A8" s="79" t="n"/>
      <c r="B8" s="80" t="inlineStr">
        <is>
          <t>Регулаторен риск (BG)</t>
        </is>
      </c>
      <c r="C8" s="83" t="inlineStr">
        <is>
          <t>НАРАСТВАЩ — общини започват
да изискват регистрация/лиценз</t>
        </is>
      </c>
      <c r="D8" s="50" t="n"/>
      <c r="E8" s="81" t="inlineStr">
        <is>
          <t>Минимален — стандартен
наемен договор</t>
        </is>
      </c>
      <c r="F8" s="79" t="n"/>
    </row>
    <row r="9">
      <c r="A9" s="79" t="n"/>
      <c r="B9" s="80" t="inlineStr">
        <is>
          <t>Данъчна сложност</t>
        </is>
      </c>
      <c r="C9" s="83" t="inlineStr">
        <is>
          <t>По-висока — по-трудно доказване
на разходи, регистрация по ДДС</t>
        </is>
      </c>
      <c r="D9" s="50" t="n"/>
      <c r="E9" s="81" t="inlineStr">
        <is>
          <t>По-проста — наемен договор,
10% ДДФЛ</t>
        </is>
      </c>
      <c r="F9" s="79" t="n"/>
    </row>
    <row r="10">
      <c r="A10" s="79" t="n"/>
      <c r="B10" s="80" t="inlineStr">
        <is>
          <t>Нужен начален капитал</t>
        </is>
      </c>
      <c r="C10" s="83" t="inlineStr">
        <is>
          <t>По-висок — обзавеждане, спално бельо,
пълна екипировка, снимки</t>
        </is>
      </c>
      <c r="D10" s="50" t="n"/>
      <c r="E10" s="81" t="inlineStr">
        <is>
          <t>По-нисък — основно обзавеждане
или без обзавеждане</t>
        </is>
      </c>
      <c r="F10" s="79" t="n"/>
    </row>
    <row r="11">
      <c r="A11" s="79" t="n"/>
      <c r="B11" s="80" t="inlineStr">
        <is>
          <t>Ликвидност (лесно освобождаване)</t>
        </is>
      </c>
      <c r="C11" s="83" t="inlineStr">
        <is>
          <t>По-трудно — трябва да чакаш
между резервации</t>
        </is>
      </c>
      <c r="D11" s="50" t="n"/>
      <c r="E11" s="84" t="inlineStr">
        <is>
          <t>Трябва да изчакаш края
на договора (обикн. 1 мес.)</t>
        </is>
      </c>
      <c r="F11" s="79" t="n"/>
    </row>
    <row r="12">
      <c r="A12" s="79" t="n"/>
      <c r="B12" s="80" t="inlineStr">
        <is>
          <t>Правна защита при проблем</t>
        </is>
      </c>
      <c r="C12" s="82" t="inlineStr">
        <is>
          <t>По-слаба — краткосрочен гост
няма договор за наем</t>
        </is>
      </c>
      <c r="D12" s="50" t="n"/>
      <c r="E12" s="81" t="inlineStr">
        <is>
          <t>По-силна — наемен договор,
депозит, Закон за наема</t>
        </is>
      </c>
      <c r="F12" s="79" t="n"/>
    </row>
    <row r="13">
      <c r="A13" s="79" t="n"/>
      <c r="B13" s="80" t="inlineStr">
        <is>
          <t>Потенциал за скалиране</t>
        </is>
      </c>
      <c r="C13" s="83" t="inlineStr">
        <is>
          <t>Труден — всеки имот изисква
пълно управление</t>
        </is>
      </c>
      <c r="D13" s="50" t="n"/>
      <c r="E13" s="81" t="inlineStr">
        <is>
          <t>По-лесен — с управляваща компания
можеш да скалираш</t>
        </is>
      </c>
      <c r="F13" s="79" t="n"/>
    </row>
    <row r="14">
      <c r="A14" s="79" t="n"/>
      <c r="B14" s="80" t="inlineStr">
        <is>
          <t>Подходящ за</t>
        </is>
      </c>
      <c r="C14" s="81" t="inlineStr">
        <is>
          <t>Централни локации, туристически
зони, ски/море, апартаменти до 2 стаи</t>
        </is>
      </c>
      <c r="D14" s="50" t="n"/>
      <c r="E14" s="81" t="inlineStr">
        <is>
          <t>Жилищни кв., семейни апартаменти,
градове без туризъм</t>
        </is>
      </c>
      <c r="F14" s="79" t="n"/>
    </row>
    <row r="15">
      <c r="A15" s="79" t="n"/>
      <c r="B15" s="80" t="inlineStr">
        <is>
          <t>НЕ подходящ за</t>
        </is>
      </c>
      <c r="C15" s="82" t="inlineStr">
        <is>
          <t>Периферни зони, без туризъм,
без готовност за управление</t>
        </is>
      </c>
      <c r="D15" s="50" t="n"/>
      <c r="E15" s="83" t="inlineStr">
        <is>
          <t>Туристически горещи точки
с висока сезонна разлика</t>
        </is>
      </c>
      <c r="F15" s="79" t="n"/>
    </row>
    <row r="16" ht="8" customHeight="1"/>
    <row r="17" ht="26" customHeight="1">
      <c r="B17" s="33" t="inlineStr">
        <is>
          <t>ОБЩ SCORE (по нашата матрица)</t>
        </is>
      </c>
      <c r="C17" s="77" t="inlineStr">
        <is>
          <t>⭐⭐⭐ Висок доход, висок риск</t>
        </is>
      </c>
      <c r="E17" s="78" t="inlineStr">
        <is>
          <t>⭐⭐⭐⭐ Стабилност и скалируемост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</cols>
  <sheetData>
    <row r="1" ht="38" customHeight="1">
      <c r="A1" s="75" t="inlineStr">
        <is>
          <t>📖  НАРЪЧНИК — КОГА КОЕ ДА ИЗБЕРЕМ</t>
        </is>
      </c>
    </row>
    <row r="3" ht="8" customHeight="1"/>
    <row r="4" ht="24" customHeight="1">
      <c r="B4" s="85" t="inlineStr">
        <is>
          <t xml:space="preserve">  КОГА КРАТКОСРОЧНИЯТ Е ПО-ДОБЪР</t>
        </is>
      </c>
    </row>
    <row r="5" ht="80" customHeight="1">
      <c r="B5" s="86" t="inlineStr">
        <is>
          <t>✔ Туристическа локация с висок поток (море, планина, центъра на голям град)
✔ Готов си да управляваш активно или имаш управляваща компания
✔ Имотът е добре обзаведен и снимките са атрактивни
✔ Приемаш непостоянството на приходите
✔ Планираш понякога да го ползваш лично</t>
        </is>
      </c>
    </row>
    <row r="6" ht="8" customHeight="1"/>
    <row r="7" ht="24" customHeight="1">
      <c r="B7" s="87" t="inlineStr">
        <is>
          <t xml:space="preserve">  КОГА ДЪЛГОСРОЧНИЯТ Е ПО-ДОБЪР</t>
        </is>
      </c>
    </row>
    <row r="8" ht="80" customHeight="1">
      <c r="B8" s="86" t="inlineStr">
        <is>
          <t>✔ Жилищен квартал без силен туристически поток
✔ Искаш предвидим, пасивен доход
✔ Имаш повече имоти и искаш да скалираш без управленска тежест
✔ Не искаш да се занимаваш с check-in, почистване, reviews
✔ Имотът е финансиран с ипотека — нужна ти е сигурност за вноската</t>
        </is>
      </c>
    </row>
    <row r="9" ht="8" customHeight="1"/>
    <row r="10" ht="24" customHeight="1">
      <c r="B10" s="88" t="inlineStr">
        <is>
          <t xml:space="preserve">  ХИБРИДНА СТРАТЕГИЯ (когато е опция)</t>
        </is>
      </c>
    </row>
    <row r="11" ht="32" customHeight="1">
      <c r="B11" s="86" t="inlineStr">
        <is>
          <t>Краткосрочен в пик сезона (юни–септ.) → Дългосрочен извън сезона
Изисква гъвкавост и добро планиране, но максимизира дохода в туристически локации.</t>
        </is>
      </c>
    </row>
    <row r="12" ht="8" customHeight="1"/>
    <row r="13" ht="24" customHeight="1">
      <c r="B13" s="89" t="inlineStr">
        <is>
          <t xml:space="preserve">  КЛЮЧОВИ ЧИСЛА ЗА ВЗЕМАНЕ НА РЕШЕНИЕ</t>
        </is>
      </c>
    </row>
    <row r="14" ht="64" customHeight="1">
      <c r="B14" s="86" t="inlineStr">
        <is>
          <t>Заетост на break-even: ST трябва да покрие поне 65–70% от разходите дори при 40% заетост
Правило: Ако ST не изкарва поне 30% ПОВЕЧЕ от LT — не е worth-it предвид усилието
Разходи ST: очаквай 35–45% от брутния приход да отиде за разходи
Разходи LT: очаквай 20–30% от брутния приход за разходи</t>
        </is>
      </c>
    </row>
    <row r="15" ht="8" customHeight="1"/>
    <row r="16" ht="24" customHeight="1">
      <c r="B16" s="90" t="inlineStr">
        <is>
          <t xml:space="preserve">  ДАНЪЧНИ БЕЛЕЖКИ (България)</t>
        </is>
      </c>
    </row>
    <row r="17" ht="64" customHeight="1">
      <c r="B17" s="86" t="inlineStr">
        <is>
          <t>Краткосрочен: Доходи от Airbnb/Booking → облагат се с 10% ДДФЛ
При оборот над 100 000 лв. → задължителна регистрация по ДДС
Краткосрочният наем се смята за търговска дейност ако е системен → внимавай
Дългосрочен: Стандартен наемен договор → 10% ДДФЛ върху нетния доход</t>
        </is>
      </c>
    </row>
    <row r="18" ht="8" customHeight="1"/>
    <row r="19" ht="24" customHeight="1">
      <c r="B19" s="91" t="inlineStr">
        <is>
          <t xml:space="preserve">  ФОРМУЛА ЗА БЪРЗА ОЦЕНКА</t>
        </is>
      </c>
    </row>
    <row r="20" ht="96" customHeight="1">
      <c r="B20" s="86" t="inlineStr">
        <is>
          <t>Break-even заетост ST = (Разходи ST) / (Цена нощ × 365)
Ако break-even е над 55% → рискован
Ако break-even е под 35% → отличен потенциал
Брутна доходност LT = (Месечен наем × 12) / Покупна цена × 100
Добра: над 5% | Отлична: над 7%</t>
        </is>
      </c>
    </row>
  </sheetData>
  <mergeCells count="13">
    <mergeCell ref="B13:C13"/>
    <mergeCell ref="B16:C16"/>
    <mergeCell ref="B7:C7"/>
    <mergeCell ref="A1:C1"/>
    <mergeCell ref="B11:C11"/>
    <mergeCell ref="B5:C5"/>
    <mergeCell ref="B19:C19"/>
    <mergeCell ref="B20:C20"/>
    <mergeCell ref="B10:C10"/>
    <mergeCell ref="B14:C14"/>
    <mergeCell ref="B17:C17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2026-02-19T18:57:06Z</dcterms:created>
  <dcterms:modified xmlns:dcterms="http://purl.org/dc/terms/" xmlns:xsi="http://www.w3.org/2001/XMLSchema-instance" xsi:type="dcterms:W3CDTF">2026-02-19T18:57:06Z</dcterms:modified>
</cp:coreProperties>
</file>