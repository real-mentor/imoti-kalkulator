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ЗАДАЧА" sheetId="1" state="visible" r:id="rId3"/>
    <sheet name="1️⃣ АНАЛИЗ" sheetId="2" state="visible" r:id="rId4"/>
    <sheet name="2️⃣ СТРАТЕГИЯ" sheetId="3" state="visible" r:id="rId5"/>
    <sheet name="3️⃣ БЮДЖЕТ" sheetId="4" state="visible" r:id="rId6"/>
    <sheet name="4️⃣ ROI" sheetId="5" state="visible" r:id="rId7"/>
    <sheet name="5️⃣ ДОКЛАД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<sst xmlns="http://schemas.openxmlformats.org/spreadsheetml/2006/main" count="357" uniqueCount="253">
  <si>
    <t xml:space="preserve">🎯  ЗАДАЧА: ОПТИМИЗАЦИЯ НА РЕАЛЕН ИМОТ</t>
  </si>
  <si>
    <t xml:space="preserve">Real Mentor  |  Модул: Ремонти и обзавеждане  |  Практическо упражнение</t>
  </si>
  <si>
    <t xml:space="preserve">А.  ЦЕЛ НА ЗАДАЧАТА</t>
  </si>
  <si>
    <t xml:space="preserve">Получавате реален имот с описание, снимки и пазарни данни. Вашата задача е да преминете през всички стъпки на инвеститор — от анализа на техническото и финансово състояние, през избора на стратегия и план за оптимизация, до изчисляване на ROI и финална препоръка. Работите в този файл — попълвате жълтите клетки и отговаряте на въпросите.</t>
  </si>
  <si>
    <t xml:space="preserve">Б.  ИМОТЪТ — ВАШИЯТ СЦЕНАРИЙ</t>
  </si>
  <si>
    <t xml:space="preserve">📍 Местоположение</t>
  </si>
  <si>
    <t xml:space="preserve">⚠️  ИЗВЕСТНИ ПРОБЛЕМИ (от огледа)</t>
  </si>
  <si>
    <t xml:space="preserve">гр. София, ж.к. Надежда, бл. 259, ет. 4</t>
  </si>
  <si>
    <t xml:space="preserve">🔴  Алуминиева електрическа инсталация — пожарен риск, задължителна подмяна</t>
  </si>
  <si>
    <t xml:space="preserve">🏠 Тип имот</t>
  </si>
  <si>
    <t xml:space="preserve">🔴  Стоманени ВиК тръби — ръжда при пускане, ниско налягане</t>
  </si>
  <si>
    <t xml:space="preserve">Двустаен апартамент, 64 кв.м жилищна</t>
  </si>
  <si>
    <t xml:space="preserve">🟡  Дограма PVC 2004 г. — лоша топлоизолация, кондензация по стъклата</t>
  </si>
  <si>
    <t xml:space="preserve">🏗️ Сграда</t>
  </si>
  <si>
    <t xml:space="preserve">🟡  Баня: плочки 10×10 бяло, старо корито за вана, стара тоалетна</t>
  </si>
  <si>
    <t xml:space="preserve">Панелна, 10 ет., 1986 г., ЕСС Надежда 2</t>
  </si>
  <si>
    <t xml:space="preserve">🟡  Кухня: МДФ шкафове 2004 г., стари уреди, стар котлон</t>
  </si>
  <si>
    <t xml:space="preserve">💰 Покупна цена</t>
  </si>
  <si>
    <t xml:space="preserve">🟡  Ламинат с деформации в хола и коридора</t>
  </si>
  <si>
    <t xml:space="preserve">94 000 лв. (купен под пазара — лошо сост.)</t>
  </si>
  <si>
    <t xml:space="preserve">🟢  Стени: шпакловка с козметични пукнатини, старо боядисване</t>
  </si>
  <si>
    <t xml:space="preserve">📅 Последен ремонт</t>
  </si>
  <si>
    <t xml:space="preserve">🟢  Покрив: покрит, без теч (обновен 2019 г. от ЕСС)</t>
  </si>
  <si>
    <t xml:space="preserve">2004 г. — не е докосван оттогава</t>
  </si>
  <si>
    <t xml:space="preserve">👤 Наемател</t>
  </si>
  <si>
    <t xml:space="preserve">В.  ПАЗАРНИ ДАННИ  (изследвани от ментора)</t>
  </si>
  <si>
    <t xml:space="preserve">Среден наем без ремонт (района)</t>
  </si>
  <si>
    <t xml:space="preserve">380–430 лв./мес.</t>
  </si>
  <si>
    <t xml:space="preserve">Среден наем с ремонт (района)</t>
  </si>
  <si>
    <t xml:space="preserve">620–680 лв./мес.</t>
  </si>
  <si>
    <t xml:space="preserve">Airbnb потенциал (35 EUR/нощ × 70% заетост)</t>
  </si>
  <si>
    <t xml:space="preserve">~840 лв./мес.</t>
  </si>
  <si>
    <t xml:space="preserve">Пазарна стойност БЕЗ ремонт</t>
  </si>
  <si>
    <t xml:space="preserve">95 000–100 000 лв.</t>
  </si>
  <si>
    <t xml:space="preserve">Пазарна стойност С пълен ремонт</t>
  </si>
  <si>
    <t xml:space="preserve">125 000–135 000 лв.</t>
  </si>
  <si>
    <t xml:space="preserve">Ср. пазарна цена в района</t>
  </si>
  <si>
    <t xml:space="preserve">1 750–1 950 лв./кв.м</t>
  </si>
  <si>
    <t xml:space="preserve">Г.  КАКВО ТРЯБВА ДА ПРЕДАДЕТЕ</t>
  </si>
  <si>
    <t xml:space="preserve">СТЪПКА 1</t>
  </si>
  <si>
    <t xml:space="preserve">Анализ на имота</t>
  </si>
  <si>
    <t xml:space="preserve">Лист '1️⃣ АНАЛИЗ' — попълнете техническата оценка и SWOT</t>
  </si>
  <si>
    <t xml:space="preserve">СТЪПКА 2</t>
  </si>
  <si>
    <t xml:space="preserve">Стратегия и приоритети</t>
  </si>
  <si>
    <t xml:space="preserve">Лист '2️⃣ СТРАТЕГИЯ' — изберете стратегия и приоритизирайте</t>
  </si>
  <si>
    <t xml:space="preserve">СТЪПКА 3</t>
  </si>
  <si>
    <t xml:space="preserve">Бюджет за оптимизация</t>
  </si>
  <si>
    <t xml:space="preserve">Лист '3️⃣ БЮДЖЕТ' — съставете подробна разбивка на разходите</t>
  </si>
  <si>
    <t xml:space="preserve">СТЪПКА 4</t>
  </si>
  <si>
    <t xml:space="preserve">ROI Калкулация</t>
  </si>
  <si>
    <t xml:space="preserve">Лист '4️⃣ ROI' — изчислете възвращаемостта за 3 сценария</t>
  </si>
  <si>
    <t xml:space="preserve">СТЪПКА 5</t>
  </si>
  <si>
    <t xml:space="preserve">Финален доклад</t>
  </si>
  <si>
    <t xml:space="preserve">Лист '5️⃣ ДОКЛАД' — напишете финалните препоръки (½ стр.)</t>
  </si>
  <si>
    <t xml:space="preserve">Д.  ОЦЕНЪЧНА РУБРИКА — максимален резултат: 100 точки</t>
  </si>
  <si>
    <t xml:space="preserve">Критерий</t>
  </si>
  <si>
    <t xml:space="preserve">Точки</t>
  </si>
  <si>
    <t xml:space="preserve">Описание</t>
  </si>
  <si>
    <t xml:space="preserve">Стъпка 1 — Анализ</t>
  </si>
  <si>
    <t xml:space="preserve">20 т.</t>
  </si>
  <si>
    <t xml:space="preserve">Точност на техническата оценка, идентифицирани проблеми, SWOT</t>
  </si>
  <si>
    <t xml:space="preserve">Стъпка 2 — Стратегия</t>
  </si>
  <si>
    <t xml:space="preserve">Аргументирана стратегия, правилни приоритети, реалистичен подход</t>
  </si>
  <si>
    <t xml:space="preserve">Стъпка 3 — Бюджет</t>
  </si>
  <si>
    <t xml:space="preserve">25 т.</t>
  </si>
  <si>
    <t xml:space="preserve">Пълнота на позициите, реалистични цени, правилна логика</t>
  </si>
  <si>
    <t xml:space="preserve">Стъпка 4 — ROI</t>
  </si>
  <si>
    <t xml:space="preserve">Правилна калкулация, 3 сценария, изводи от числата</t>
  </si>
  <si>
    <t xml:space="preserve">Стъпка 5 — Доклад</t>
  </si>
  <si>
    <t xml:space="preserve">10 т.</t>
  </si>
  <si>
    <t xml:space="preserve">Ясни препоръки, логика, убедително представяне</t>
  </si>
  <si>
    <t xml:space="preserve">🟡 Жълти клетки = попълвате вие  |  Сини числа в жълто = въвеждате числа  |  Автоматичните клетки НЕ редактирайте</t>
  </si>
  <si>
    <t xml:space="preserve">СТЪПКА 1 — АНАЛИЗ НА ИМОТА</t>
  </si>
  <si>
    <t xml:space="preserve">Попълнете таблиците — жълтите клетки са ваши. Оценките са в скала 1–5 (1=лошо, 5=отлично)</t>
  </si>
  <si>
    <t xml:space="preserve">1А.  ТЕХНИЧЕСКА ОЦЕНКА — оценете всяка система от 1 до 5</t>
  </si>
  <si>
    <t xml:space="preserve">Система / Елемент</t>
  </si>
  <si>
    <t xml:space="preserve">Оценка (1–5)</t>
  </si>
  <si>
    <t xml:space="preserve">Приоритет (В/С/Н)</t>
  </si>
  <si>
    <t xml:space="preserve">Задълж. подм.?</t>
  </si>
  <si>
    <t xml:space="preserve">Бележки / Наблюдения</t>
  </si>
  <si>
    <t xml:space="preserve">Електрическа инсталация</t>
  </si>
  <si>
    <t xml:space="preserve">Висок</t>
  </si>
  <si>
    <t xml:space="preserve">Да</t>
  </si>
  <si>
    <t xml:space="preserve">ВиК инсталация — водопровод</t>
  </si>
  <si>
    <t xml:space="preserve">ВиК инсталация — канализация</t>
  </si>
  <si>
    <t xml:space="preserve">Среден</t>
  </si>
  <si>
    <t xml:space="preserve">Не</t>
  </si>
  <si>
    <t xml:space="preserve">Дограма (прозорци и врати)</t>
  </si>
  <si>
    <t xml:space="preserve">Баня — плочки и хидроизолация</t>
  </si>
  <si>
    <t xml:space="preserve">Баня — санитария и смесители</t>
  </si>
  <si>
    <t xml:space="preserve">Кухня — мебели и уреди</t>
  </si>
  <si>
    <t xml:space="preserve">Нисък</t>
  </si>
  <si>
    <t xml:space="preserve">Подови настилки</t>
  </si>
  <si>
    <t xml:space="preserve">Стени и тавани</t>
  </si>
  <si>
    <t xml:space="preserve">Отопление / Климатизация</t>
  </si>
  <si>
    <t xml:space="preserve">Фасада и покрив (ЕСС)</t>
  </si>
  <si>
    <t xml:space="preserve">Входни врати (сигурност)</t>
  </si>
  <si>
    <t xml:space="preserve">1Б.  SWOT АНАЛИЗ — попълнете поне 3 точки за всеки квадрант</t>
  </si>
  <si>
    <t xml:space="preserve">СИЛНИ СТРАНИ 💪</t>
  </si>
  <si>
    <t xml:space="preserve">СЛАБИ СТРАНИ ⚠️</t>
  </si>
  <si>
    <t xml:space="preserve">Пример: Какво е добро в имота — локация, размер, потенциал</t>
  </si>
  <si>
    <t xml:space="preserve">Пример: Проблеми, дефекти, недостатъци, рискове</t>
  </si>
  <si>
    <t xml:space="preserve">1. </t>
  </si>
  <si>
    <t xml:space="preserve">2. </t>
  </si>
  <si>
    <t xml:space="preserve">3. </t>
  </si>
  <si>
    <t xml:space="preserve">4. </t>
  </si>
  <si>
    <t xml:space="preserve">5. </t>
  </si>
  <si>
    <t xml:space="preserve">6. </t>
  </si>
  <si>
    <t xml:space="preserve">ВЪЗМОЖНОСТИ 🚀</t>
  </si>
  <si>
    <t xml:space="preserve">ЗАПЛАХИ 🛡️</t>
  </si>
  <si>
    <t xml:space="preserve">Пример: Пазарни тенденции, потенциал за ценова добавена стойност</t>
  </si>
  <si>
    <t xml:space="preserve">Пример: Пазарни рискове, регулации, конкуренция</t>
  </si>
  <si>
    <t xml:space="preserve">1В.  ПАЗАРНИ СРАВНИТЕЛНИ — намерете 3 реални обяви в района и попълнете</t>
  </si>
  <si>
    <t xml:space="preserve">Обява №</t>
  </si>
  <si>
    <t xml:space="preserve">Адрес / Имот</t>
  </si>
  <si>
    <t xml:space="preserve">Площ (кв.м)</t>
  </si>
  <si>
    <t xml:space="preserve">Цена (лв.)</t>
  </si>
  <si>
    <t xml:space="preserve">лв./кв.м</t>
  </si>
  <si>
    <t xml:space="preserve">Ремонт?</t>
  </si>
  <si>
    <t xml:space="preserve">Бележка</t>
  </si>
  <si>
    <t xml:space="preserve">Нашият имот</t>
  </si>
  <si>
    <t xml:space="preserve">ж.к. Надежда, бл. 259</t>
  </si>
  <si>
    <t xml:space="preserve">64</t>
  </si>
  <si>
    <t xml:space="preserve">94 000</t>
  </si>
  <si>
    <t xml:space="preserve">Не — стар</t>
  </si>
  <si>
    <t xml:space="preserve">Покупна цена</t>
  </si>
  <si>
    <t xml:space="preserve">СТЪПКА 2 — СТРАТЕГИЯ И ПРИОРИТЕТИ</t>
  </si>
  <si>
    <t xml:space="preserve">Изберете стратегия, аргументирайте я и приоритизирайте подобренията</t>
  </si>
  <si>
    <t xml:space="preserve">2А.  ИЗБЕРЕТЕ СТРАТЕГИЯ</t>
  </si>
  <si>
    <t xml:space="preserve">Стратегия А
🏠 За наем
(дългосрочен)</t>
  </si>
  <si>
    <t xml:space="preserve">Стратегия Б
✈️ Airbnb
(краткосрочен)</t>
  </si>
  <si>
    <t xml:space="preserve">Стратегия В
💰 Ремонт + Продажба
(flip)</t>
  </si>
  <si>
    <t xml:space="preserve">✅ ПРЕДИМСТВА:</t>
  </si>
  <si>
    <t xml:space="preserve">• Постоянен пасивен доход
• Ниска ангажираност
• Пазарен наем 620–680 лв./мес.</t>
  </si>
  <si>
    <t xml:space="preserve">• По-висок доход (840+ лв./мес.)
• Гъвкавост при нужда
• Бонус: туристически район</t>
  </si>
  <si>
    <t xml:space="preserve">• Еднократна голяма печалба
• Бърза капитализация
• Пазарна цена 125–135 хил. лв.</t>
  </si>
  <si>
    <t xml:space="preserve">❌ НЕДОСТАТЪЦИ:</t>
  </si>
  <si>
    <t xml:space="preserve">• По-нисък потенциален приход
• Амортизация на имота
• Наемател риск</t>
  </si>
  <si>
    <t xml:space="preserve">• По-висока ангажираност
• Сезонност
• По-висок стандарт за ремонта</t>
  </si>
  <si>
    <t xml:space="preserve">• Капитал вързан по-дълго
• Данъчни задължения
• Пазарен риск при забавяне</t>
  </si>
  <si>
    <t xml:space="preserve">▶  ВАШИЯТ ИЗБОР: Коя стратегия избирате?</t>
  </si>
  <si>
    <t xml:space="preserve">Избор: ___ (A / Б / В)</t>
  </si>
  <si>
    <t xml:space="preserve">Аргументация (напишете поне 3 конкретни причина защо тази стратегия е най-добра за ТОЗИ имот):</t>
  </si>
  <si>
    <t xml:space="preserve">2Б.  МАТРИЦА НА ПРИОРИТЕТИТЕ — разпределете подобренията</t>
  </si>
  <si>
    <t xml:space="preserve">ВАЖНОСТ ↑  СПЕШНОСТ ↑
(Правете ВЕДНАГА)</t>
  </si>
  <si>
    <t xml:space="preserve">ВАЖНОСТ ↑  СПЕШНОСТ ↓
(Планирайте)</t>
  </si>
  <si>
    <t xml:space="preserve">ВАЖНОСТ ↓  СПЕШНОСТ ↑
(Делегирайте)</t>
  </si>
  <si>
    <t xml:space="preserve">ВАЖНОСТ ↓  СПЕШНОСТ ↓
(Отложете)</t>
  </si>
  <si>
    <t xml:space="preserve">2В.  РЕД НА РЕМОНТНИТЕ РАБОТИ — наредете в правилен ред (1=първо)</t>
  </si>
  <si>
    <t xml:space="preserve">Дейност</t>
  </si>
  <si>
    <t xml:space="preserve">Ред (1-10)</t>
  </si>
  <si>
    <t xml:space="preserve">Причина</t>
  </si>
  <si>
    <t xml:space="preserve">Ориентир. срок</t>
  </si>
  <si>
    <t xml:space="preserve">Изпълнител</t>
  </si>
  <si>
    <t xml:space="preserve">В бюджета?</t>
  </si>
  <si>
    <t xml:space="preserve">Ел. инсталация (пълна подмяна)</t>
  </si>
  <si>
    <t xml:space="preserve">ВиК инсталация (пълна подмяна)</t>
  </si>
  <si>
    <t xml:space="preserve">Хидроизолация на баня</t>
  </si>
  <si>
    <t xml:space="preserve">Мазилки и замазки</t>
  </si>
  <si>
    <t xml:space="preserve">Шпакловане на стени</t>
  </si>
  <si>
    <t xml:space="preserve">Дограма (смяна на прозорци)</t>
  </si>
  <si>
    <t xml:space="preserve">Баня — плочки и санитария</t>
  </si>
  <si>
    <t xml:space="preserve">Боядисване и финиш</t>
  </si>
  <si>
    <t xml:space="preserve">СТЪПКА 3 — БЮДЖЕТ ЗА ОПТИМИЗАЦИЯ</t>
  </si>
  <si>
    <t xml:space="preserve">Попълнете разходите — СИНИ числа са ваши оценки; ЧЕРНИТЕ са автоматично изчислени</t>
  </si>
  <si>
    <t xml:space="preserve">3А.  РАЗБИВКА НА РАЗХОДИТЕ ПО ПОЗИЦИИ</t>
  </si>
  <si>
    <t xml:space="preserve">Позиция</t>
  </si>
  <si>
    <t xml:space="preserve">Кол.
(кв.м/бр)</t>
  </si>
  <si>
    <t xml:space="preserve">Ед.цена
мат. (лв.)</t>
  </si>
  <si>
    <t xml:space="preserve">Ед.цена
труд (лв.)</t>
  </si>
  <si>
    <t xml:space="preserve">Мат.
(лв.)</t>
  </si>
  <si>
    <t xml:space="preserve">Труд
(лв.)</t>
  </si>
  <si>
    <t xml:space="preserve">Общо
(лв.)</t>
  </si>
  <si>
    <t xml:space="preserve">Приоритет</t>
  </si>
  <si>
    <t xml:space="preserve">Бележки</t>
  </si>
  <si>
    <t xml:space="preserve">🔴 ЗАДЪЛЖИТЕЛНИ</t>
  </si>
  <si>
    <t xml:space="preserve">Ел. инсталация — пълна подмяна (труд+мат.)</t>
  </si>
  <si>
    <t xml:space="preserve">ВиК инсталация — пълна подмяна PPR</t>
  </si>
  <si>
    <t xml:space="preserve">🟡 ВАЖНИ</t>
  </si>
  <si>
    <t xml:space="preserve">Хидроизолация баня (weber/knauf)</t>
  </si>
  <si>
    <t xml:space="preserve">Плочки баня — 60×60 (мат.)</t>
  </si>
  <si>
    <t xml:space="preserve">Санитария — тоалетна, мивка, смесители</t>
  </si>
  <si>
    <t xml:space="preserve">Дограма PVC 3-слойна — 5 прозореца</t>
  </si>
  <si>
    <t xml:space="preserve">Подова настилка LVP — хол+коридор+спалня</t>
  </si>
  <si>
    <t xml:space="preserve">Боядисване — 2 пласта латекс</t>
  </si>
  <si>
    <t xml:space="preserve">🟢 ЖЕЛАТЕЛНИ</t>
  </si>
  <si>
    <t xml:space="preserve">Кухня — IKEA METOD комплект</t>
  </si>
  <si>
    <t xml:space="preserve">Кухня — котлон, абсорбатор, фурна</t>
  </si>
  <si>
    <t xml:space="preserve">Осветление — луни LED + пендел</t>
  </si>
  <si>
    <t xml:space="preserve">Входна врата — стоманена блиндирана</t>
  </si>
  <si>
    <t xml:space="preserve">Интериорни врати × 3 бр.</t>
  </si>
  <si>
    <t xml:space="preserve">➕ ДОПЪЛНИТЕЛНИ</t>
  </si>
  <si>
    <t xml:space="preserve">Гипсокартон таван — хол</t>
  </si>
  <si>
    <t xml:space="preserve">Извозване строителни отпадъци</t>
  </si>
  <si>
    <t xml:space="preserve">Почистване след ремонт</t>
  </si>
  <si>
    <t xml:space="preserve">Непредвидени разходи (резерв 20%)</t>
  </si>
  <si>
    <t xml:space="preserve">ОБЩО МАТЕРИАЛИ + ТРУД</t>
  </si>
  <si>
    <t xml:space="preserve">+ Резерв 20% (задължителен буфер)</t>
  </si>
  <si>
    <t xml:space="preserve">🎯  ОБЩ БЮДЖЕТ С РЕЗЕРВ</t>
  </si>
  <si>
    <t xml:space="preserve">СТЪПКА 4 — ROI КАЛКУЛАЦИЯ</t>
  </si>
  <si>
    <t xml:space="preserve">Изчислете ROI за 3 сценария — Песимистичен / Реалистичен / Оптимистичен</t>
  </si>
  <si>
    <t xml:space="preserve">ПЕСИМИСТИЧЕН 🔴</t>
  </si>
  <si>
    <t xml:space="preserve">РЕАЛИСТИЧЕН 🟡</t>
  </si>
  <si>
    <t xml:space="preserve">ОПТИМИСТИЧЕН 🟢</t>
  </si>
  <si>
    <t xml:space="preserve">Вашата прогноза</t>
  </si>
  <si>
    <t xml:space="preserve">А.  ИНВЕСТИЦИЯ (попълнете)</t>
  </si>
  <si>
    <t xml:space="preserve">Покупна цена на имота (лв.)</t>
  </si>
  <si>
    <t xml:space="preserve">Разходи за ремонт (лв.)</t>
  </si>
  <si>
    <t xml:space="preserve">Нотариус, такси, юрист (лв.)</t>
  </si>
  <si>
    <t xml:space="preserve">Маркетинг и обзавеждане за наем (лв.)</t>
  </si>
  <si>
    <t xml:space="preserve">💰  ОБЩА ИНВЕСТИЦИЯ (лв.)</t>
  </si>
  <si>
    <t xml:space="preserve">Б.  ПРИХОДИ — СТРАТЕГИЯ НАЕМ (попълнете)</t>
  </si>
  <si>
    <t xml:space="preserve">Месечен наем (лв.)</t>
  </si>
  <si>
    <t xml:space="preserve">Заетост (%)</t>
  </si>
  <si>
    <t xml:space="preserve">Месечни разходи ЕСС (лв.)</t>
  </si>
  <si>
    <t xml:space="preserve">Данък наем — 10% ДДФЛ (лв.)</t>
  </si>
  <si>
    <t xml:space="preserve">Застраховка имот/год. (лв.)</t>
  </si>
  <si>
    <t xml:space="preserve">📈  ГОД. НЕТ ДОХОД НАЕМ (лв.)</t>
  </si>
  <si>
    <t xml:space="preserve">В.  КЛЮЧОВИ ПОКАЗАТЕЛИ — АВТОМАТИЧНО ИЗЧИСЛЕНИ</t>
  </si>
  <si>
    <t xml:space="preserve">Gross Yield — Брутна доходност (%)</t>
  </si>
  <si>
    <t xml:space="preserve">Net Yield — Нетна доходност (%)</t>
  </si>
  <si>
    <t xml:space="preserve">Cash-on-Cash Return (%)</t>
  </si>
  <si>
    <t xml:space="preserve">Период на откупуване (години)</t>
  </si>
  <si>
    <t xml:space="preserve">Г.  ROI ПРИ СТРАТЕГИЯ ПРОДАЖБА (flip)</t>
  </si>
  <si>
    <t xml:space="preserve">Прогнозна продажна цена (лв.)</t>
  </si>
  <si>
    <t xml:space="preserve">Разходи за продажба — агент 3% (лв.)</t>
  </si>
  <si>
    <t xml:space="preserve">Данък продажба — 10% ДДФЛ от печалба</t>
  </si>
  <si>
    <t xml:space="preserve">💰  НЕТНА ПЕЧАЛБА ОТ ПРОДАЖБА (лв.)</t>
  </si>
  <si>
    <t xml:space="preserve">📊  ROI ОТ ПРОДАЖБА (%)</t>
  </si>
  <si>
    <t xml:space="preserve">СТЪПКА 5 — ФИНАЛЕН ДОКЛАД И ПРЕПОРЪКИ</t>
  </si>
  <si>
    <t xml:space="preserve">Напишете финалния си анализ — отговорете на всеки въпрос в жълтите полета (мин. 3–5 изречения)</t>
  </si>
  <si>
    <t xml:space="preserve">1. РЕЗЮМЕ НА ИМОТА</t>
  </si>
  <si>
    <t xml:space="preserve">Опишете имота с 3–4 изречения — какво е текущото му състояние, потенциал и ключови проблеми.</t>
  </si>
  <si>
    <t xml:space="preserve">(Напишете отговора тук...)</t>
  </si>
  <si>
    <t xml:space="preserve">2. ИЗБРАНА СТРАТЕГИЯ И АРГУМЕНТИ</t>
  </si>
  <si>
    <t xml:space="preserve">Коя стратегия избрахте (А/Б/В) и защо? Дайте поне 3 конкретни аргумента, подкрепени с числа от ROI таблицата.</t>
  </si>
  <si>
    <t xml:space="preserve">3. ПЛАН ЗА ОПТИМИЗАЦИЯ</t>
  </si>
  <si>
    <t xml:space="preserve">Кои са задължителните подобрения? Кои са желателни? В какъв ред ще ги правите и защо?</t>
  </si>
  <si>
    <t xml:space="preserve">4. БЮДЖЕТ И ФИНАНСИРАНЕ</t>
  </si>
  <si>
    <t xml:space="preserve">Какъв е общият бюджет? Как ще го финансирате (собствени средства / кредит / партньор)? Каква е вашата резервна позиция?</t>
  </si>
  <si>
    <t xml:space="preserve">5. ROI И ФИНАНСОВИ ИЗВОДИ</t>
  </si>
  <si>
    <t xml:space="preserve">Кой е реалистичният ROI? Кога ще се изплати инвестицията? Кой сценарий е базовият ви план?</t>
  </si>
  <si>
    <t xml:space="preserve">6. РИСКОВЕ И МИТИГАЦИЯ</t>
  </si>
  <si>
    <t xml:space="preserve">Кои са 3-те най-сериозни риска при тази инвестиция? Как ще ги управлявате?</t>
  </si>
  <si>
    <t xml:space="preserve">7. ПРЕПОРЪКА КЪМ МЕНТОРА</t>
  </si>
  <si>
    <t xml:space="preserve">Ако трябваше да препоръчате на друг инвеститор — бихте ли купили и оптимизирали този имот? Защо / защо не?</t>
  </si>
  <si>
    <t xml:space="preserve">САМООЦЕНКА — Дайте си оценка преди обратната връзка от ментора</t>
  </si>
  <si>
    <t xml:space="preserve">Стъпка 1 — Анализ  (макс. 20 т.)</t>
  </si>
  <si>
    <t xml:space="preserve">Стъпка 2 — Стратегия  (макс. 20 т.)</t>
  </si>
  <si>
    <t xml:space="preserve">Стъпка 3 — Бюджет  (макс. 25 т.)</t>
  </si>
  <si>
    <t xml:space="preserve">Стъпка 4 — ROI  (макс. 25 т.)</t>
  </si>
  <si>
    <t xml:space="preserve">Стъпка 5 — Доклад  (макс. 10 т.)</t>
  </si>
  <si>
    <t xml:space="preserve">ОБЩА ОЦЕНКА (автоматично)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</si>
</sst>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%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293B"/>
      <name val="Arial"/>
      <family val="0"/>
      <charset val="1"/>
    </font>
    <font>
      <sz val="9"/>
      <color rgb="FF1E293B"/>
      <name val="Arial"/>
      <family val="0"/>
      <charset val="1"/>
    </font>
    <font>
      <sz val="10"/>
      <color rgb="FF334155"/>
      <name val="Arial"/>
      <family val="0"/>
      <charset val="1"/>
    </font>
    <font>
      <b val="true"/>
      <sz val="10"/>
      <color rgb="FF4C1D95"/>
      <name val="Arial"/>
      <family val="0"/>
      <charset val="1"/>
    </font>
    <font>
      <b val="true"/>
      <sz val="10"/>
      <color rgb="FF9F1239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475569"/>
      <name val="Arial"/>
      <family val="0"/>
      <charset val="1"/>
    </font>
    <font>
      <i val="true"/>
      <sz val="9"/>
      <color rgb="FF47556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94A3B8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334155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b val="true"/>
      <sz val="10"/>
      <color rgb="FFC9A84C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C9A84C"/>
      <name val="Arial"/>
      <family val="0"/>
      <charset val="1"/>
    </font>
    <font>
      <b val="true"/>
      <sz val="14"/>
      <color rgb="FFC9A84C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D1B2A"/>
        <bgColor rgb="FF1E293B"/>
      </patternFill>
    </fill>
    <fill>
      <patternFill patternType="solid">
        <fgColor rgb="FFF8FAFC"/>
        <bgColor rgb="FFF0F9FF"/>
      </patternFill>
    </fill>
    <fill>
      <patternFill patternType="solid">
        <fgColor rgb="FF065F46"/>
        <bgColor rgb="FF0E7490"/>
      </patternFill>
    </fill>
    <fill>
      <patternFill patternType="solid">
        <fgColor rgb="FFDCFCE7"/>
        <bgColor rgb="FFF0F9FF"/>
      </patternFill>
    </fill>
    <fill>
      <patternFill patternType="solid">
        <fgColor rgb="FF0E7490"/>
        <bgColor rgb="FF0066CC"/>
      </patternFill>
    </fill>
    <fill>
      <patternFill patternType="solid">
        <fgColor rgb="FF92400E"/>
        <bgColor rgb="FF993366"/>
      </patternFill>
    </fill>
    <fill>
      <patternFill patternType="solid">
        <fgColor rgb="FFF0F9FF"/>
        <bgColor rgb="FFEFF6FF"/>
      </patternFill>
    </fill>
    <fill>
      <patternFill patternType="solid">
        <fgColor rgb="FFFEF3C7"/>
        <bgColor rgb="FFFFF9C4"/>
      </patternFill>
    </fill>
    <fill>
      <patternFill patternType="solid">
        <fgColor rgb="FF4C1D95"/>
        <bgColor rgb="FF660066"/>
      </patternFill>
    </fill>
    <fill>
      <patternFill patternType="solid">
        <fgColor rgb="FFEDE9FE"/>
        <bgColor rgb="FFEFF6FF"/>
      </patternFill>
    </fill>
    <fill>
      <patternFill patternType="solid">
        <fgColor rgb="FF9F1239"/>
        <bgColor rgb="FF800000"/>
      </patternFill>
    </fill>
    <fill>
      <patternFill patternType="solid">
        <fgColor rgb="FFFFE4E6"/>
        <bgColor rgb="FFEDE9FE"/>
      </patternFill>
    </fill>
    <fill>
      <patternFill patternType="solid">
        <fgColor rgb="FFFFFBEB"/>
        <bgColor rgb="FFF8FAFC"/>
      </patternFill>
    </fill>
    <fill>
      <patternFill patternType="solid">
        <fgColor rgb="FFFFF9C4"/>
        <bgColor rgb="FFFEF3C7"/>
      </patternFill>
    </fill>
    <fill>
      <patternFill patternType="solid">
        <fgColor rgb="FFEFF6FF"/>
        <bgColor rgb="FFF0F9FF"/>
      </patternFill>
    </fill>
    <fill>
      <patternFill patternType="solid">
        <fgColor rgb="FF1E293B"/>
        <bgColor rgb="FF0D1B2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medium">
        <color rgb="FF64748B"/>
      </top>
      <bottom style="medium">
        <color rgb="FF64748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0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8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2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30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0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0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8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3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8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3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1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1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E7490"/>
      <rgbColor rgb="FFEDE9FE"/>
      <rgbColor rgb="FF475569"/>
      <rgbColor rgb="FF9999FF"/>
      <rgbColor rgb="FF993366"/>
      <rgbColor rgb="FFFFF9C4"/>
      <rgbColor rgb="FFDCFCE7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F0F9FF"/>
      <rgbColor rgb="FFEFF6FF"/>
      <rgbColor rgb="FFFEF3C7"/>
      <rgbColor rgb="FFF8FAFC"/>
      <rgbColor rgb="FFFFFBEB"/>
      <rgbColor rgb="FFCC99FF"/>
      <rgbColor rgb="FFFFE4E6"/>
      <rgbColor rgb="FF3366FF"/>
      <rgbColor rgb="FF33CCCC"/>
      <rgbColor rgb="FF99CC00"/>
      <rgbColor rgb="FFFFCC00"/>
      <rgbColor rgb="FFC9A84C"/>
      <rgbColor rgb="FFFF6600"/>
      <rgbColor rgb="FF64748B"/>
      <rgbColor rgb="FF94A3B8"/>
      <rgbColor rgb="FF003366"/>
      <rgbColor rgb="FF339966"/>
      <rgbColor rgb="FF0D1B2A"/>
      <rgbColor rgb="FF334155"/>
      <rgbColor rgb="FF92400E"/>
      <rgbColor rgb="FF993366"/>
      <rgbColor rgb="FF4C1D9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4" min="3" style="0" width="8"/>
    <col collapsed="false" customWidth="true" hidden="false" outlineLevel="0" max="5" min="5" style="0" width="6"/>
    <col collapsed="false" customWidth="true" hidden="false" outlineLevel="0" max="11" min="6" style="0" width="8"/>
    <col collapsed="false" customWidth="true" hidden="false" outlineLevel="0" max="13" min="12" style="0" width="6"/>
    <col collapsed="false" customWidth="true" hidden="false" outlineLevel="0" max="14" min="14" style="0" width="8"/>
    <col collapsed="false" customWidth="true" hidden="false" outlineLevel="0" max="16" min="15" style="0" width="6"/>
  </cols>
  <sheetData>
    <row r="1" customFormat="false" ht="4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6" hidden="false" customHeight="true" outlineLevel="0" collapsed="false"/>
    <row r="4" customFormat="false" ht="21.7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true" outlineLevel="0" collapsed="false">
      <c r="B5" s="4" t="s">
        <v>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customFormat="false" ht="15" hidden="false" customHeight="false" outlineLevel="0" collapsed="false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customFormat="false" ht="15" hidden="false" customHeight="false" outlineLevel="0" collapsed="false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customFormat="false" ht="15" hidden="false" customHeight="false" outlineLevel="0" collapsed="false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customFormat="false" ht="7.5" hidden="false" customHeight="true" outlineLevel="0" collapsed="false"/>
    <row r="10" customFormat="false" ht="21.75" hidden="false" customHeight="true" outlineLevel="0" collapsed="false">
      <c r="B10" s="5" t="s">
        <v>4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customFormat="false" ht="18" hidden="false" customHeight="true" outlineLevel="0" collapsed="false">
      <c r="B11" s="6" t="s">
        <v>5</v>
      </c>
      <c r="C11" s="6"/>
      <c r="D11" s="6"/>
      <c r="E11" s="6"/>
      <c r="G11" s="7" t="s">
        <v>6</v>
      </c>
      <c r="H11" s="7"/>
      <c r="I11" s="7"/>
      <c r="J11" s="7"/>
      <c r="K11" s="7"/>
      <c r="L11" s="7"/>
      <c r="M11" s="7"/>
      <c r="N11" s="7"/>
      <c r="O11" s="7"/>
      <c r="P11" s="7"/>
    </row>
    <row r="12" customFormat="false" ht="15.75" hidden="false" customHeight="true" outlineLevel="0" collapsed="false">
      <c r="B12" s="8" t="s">
        <v>7</v>
      </c>
      <c r="C12" s="8"/>
      <c r="D12" s="8"/>
      <c r="E12" s="8"/>
      <c r="G12" s="9" t="s">
        <v>8</v>
      </c>
      <c r="H12" s="9"/>
      <c r="I12" s="9"/>
      <c r="J12" s="9"/>
      <c r="K12" s="9"/>
      <c r="L12" s="9"/>
      <c r="M12" s="9"/>
      <c r="N12" s="9"/>
      <c r="O12" s="9"/>
      <c r="P12" s="9"/>
    </row>
    <row r="13" customFormat="false" ht="15.75" hidden="false" customHeight="true" outlineLevel="0" collapsed="false">
      <c r="B13" s="6" t="s">
        <v>9</v>
      </c>
      <c r="C13" s="6"/>
      <c r="D13" s="6"/>
      <c r="E13" s="6"/>
      <c r="G13" s="9" t="s">
        <v>10</v>
      </c>
      <c r="H13" s="9"/>
      <c r="I13" s="9"/>
      <c r="J13" s="9"/>
      <c r="K13" s="9"/>
      <c r="L13" s="9"/>
      <c r="M13" s="9"/>
      <c r="N13" s="9"/>
      <c r="O13" s="9"/>
      <c r="P13" s="9"/>
    </row>
    <row r="14" customFormat="false" ht="15.75" hidden="false" customHeight="true" outlineLevel="0" collapsed="false">
      <c r="B14" s="8" t="s">
        <v>11</v>
      </c>
      <c r="C14" s="8"/>
      <c r="D14" s="8"/>
      <c r="E14" s="8"/>
      <c r="G14" s="9" t="s">
        <v>12</v>
      </c>
      <c r="H14" s="9"/>
      <c r="I14" s="9"/>
      <c r="J14" s="9"/>
      <c r="K14" s="9"/>
      <c r="L14" s="9"/>
      <c r="M14" s="9"/>
      <c r="N14" s="9"/>
      <c r="O14" s="9"/>
      <c r="P14" s="9"/>
    </row>
    <row r="15" customFormat="false" ht="15.75" hidden="false" customHeight="true" outlineLevel="0" collapsed="false">
      <c r="B15" s="6" t="s">
        <v>13</v>
      </c>
      <c r="C15" s="6"/>
      <c r="D15" s="6"/>
      <c r="E15" s="6"/>
      <c r="G15" s="9" t="s">
        <v>14</v>
      </c>
      <c r="H15" s="9"/>
      <c r="I15" s="9"/>
      <c r="J15" s="9"/>
      <c r="K15" s="9"/>
      <c r="L15" s="9"/>
      <c r="M15" s="9"/>
      <c r="N15" s="9"/>
      <c r="O15" s="9"/>
      <c r="P15" s="9"/>
    </row>
    <row r="16" customFormat="false" ht="15.75" hidden="false" customHeight="true" outlineLevel="0" collapsed="false">
      <c r="B16" s="8" t="s">
        <v>15</v>
      </c>
      <c r="C16" s="8"/>
      <c r="D16" s="8"/>
      <c r="E16" s="8"/>
      <c r="G16" s="9" t="s">
        <v>16</v>
      </c>
      <c r="H16" s="9"/>
      <c r="I16" s="9"/>
      <c r="J16" s="9"/>
      <c r="K16" s="9"/>
      <c r="L16" s="9"/>
      <c r="M16" s="9"/>
      <c r="N16" s="9"/>
      <c r="O16" s="9"/>
      <c r="P16" s="9"/>
    </row>
    <row r="17" customFormat="false" ht="15.75" hidden="false" customHeight="true" outlineLevel="0" collapsed="false">
      <c r="B17" s="6" t="s">
        <v>17</v>
      </c>
      <c r="C17" s="6"/>
      <c r="D17" s="6"/>
      <c r="E17" s="6"/>
      <c r="G17" s="9" t="s">
        <v>18</v>
      </c>
      <c r="H17" s="9"/>
      <c r="I17" s="9"/>
      <c r="J17" s="9"/>
      <c r="K17" s="9"/>
      <c r="L17" s="9"/>
      <c r="M17" s="9"/>
      <c r="N17" s="9"/>
      <c r="O17" s="9"/>
      <c r="P17" s="9"/>
    </row>
    <row r="18" customFormat="false" ht="15.75" hidden="false" customHeight="true" outlineLevel="0" collapsed="false">
      <c r="B18" s="8" t="s">
        <v>19</v>
      </c>
      <c r="C18" s="8"/>
      <c r="D18" s="8"/>
      <c r="E18" s="8"/>
      <c r="G18" s="10" t="s">
        <v>20</v>
      </c>
      <c r="H18" s="10"/>
      <c r="I18" s="10"/>
      <c r="J18" s="10"/>
      <c r="K18" s="10"/>
      <c r="L18" s="10"/>
      <c r="M18" s="10"/>
      <c r="N18" s="10"/>
      <c r="O18" s="10"/>
      <c r="P18" s="10"/>
    </row>
    <row r="19" customFormat="false" ht="15.75" hidden="false" customHeight="true" outlineLevel="0" collapsed="false">
      <c r="B19" s="6" t="s">
        <v>21</v>
      </c>
      <c r="C19" s="6"/>
      <c r="D19" s="6"/>
      <c r="E19" s="6"/>
      <c r="G19" s="10" t="s">
        <v>22</v>
      </c>
      <c r="H19" s="10"/>
      <c r="I19" s="10"/>
      <c r="J19" s="10"/>
      <c r="K19" s="10"/>
      <c r="L19" s="10"/>
      <c r="M19" s="10"/>
      <c r="N19" s="10"/>
      <c r="O19" s="10"/>
      <c r="P19" s="10"/>
    </row>
    <row r="20" customFormat="false" ht="13.5" hidden="false" customHeight="true" outlineLevel="0" collapsed="false">
      <c r="B20" s="8" t="s">
        <v>23</v>
      </c>
      <c r="C20" s="8"/>
      <c r="D20" s="8"/>
      <c r="E20" s="8"/>
    </row>
    <row r="21" customFormat="false" ht="7.5" hidden="false" customHeight="true" outlineLevel="0" collapsed="false">
      <c r="B21" s="6" t="s">
        <v>24</v>
      </c>
      <c r="C21" s="6"/>
      <c r="D21" s="6"/>
      <c r="E21" s="6"/>
    </row>
    <row r="22" customFormat="false" ht="21.75" hidden="false" customHeight="true" outlineLevel="0" collapsed="false">
      <c r="B22" s="11" t="s">
        <v>25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customFormat="false" ht="18" hidden="false" customHeight="true" outlineLevel="0" collapsed="false">
      <c r="B23" s="12" t="s">
        <v>26</v>
      </c>
      <c r="C23" s="12"/>
      <c r="D23" s="12"/>
      <c r="E23" s="12"/>
      <c r="F23" s="12"/>
      <c r="G23" s="12"/>
      <c r="H23" s="12"/>
      <c r="I23" s="12"/>
      <c r="J23" s="12"/>
      <c r="K23" s="13" t="s">
        <v>27</v>
      </c>
      <c r="L23" s="13"/>
      <c r="M23" s="13"/>
      <c r="N23" s="13"/>
      <c r="O23" s="13"/>
      <c r="P23" s="13"/>
    </row>
    <row r="24" customFormat="false" ht="18" hidden="false" customHeight="true" outlineLevel="0" collapsed="false">
      <c r="B24" s="12" t="s">
        <v>28</v>
      </c>
      <c r="C24" s="12"/>
      <c r="D24" s="12"/>
      <c r="E24" s="12"/>
      <c r="F24" s="12"/>
      <c r="G24" s="12"/>
      <c r="H24" s="12"/>
      <c r="I24" s="12"/>
      <c r="J24" s="12"/>
      <c r="K24" s="13" t="s">
        <v>29</v>
      </c>
      <c r="L24" s="13"/>
      <c r="M24" s="13"/>
      <c r="N24" s="13"/>
      <c r="O24" s="13"/>
      <c r="P24" s="13"/>
    </row>
    <row r="25" customFormat="false" ht="18" hidden="false" customHeight="true" outlineLevel="0" collapsed="false">
      <c r="B25" s="12" t="s">
        <v>30</v>
      </c>
      <c r="C25" s="12"/>
      <c r="D25" s="12"/>
      <c r="E25" s="12"/>
      <c r="F25" s="12"/>
      <c r="G25" s="12"/>
      <c r="H25" s="12"/>
      <c r="I25" s="12"/>
      <c r="J25" s="12"/>
      <c r="K25" s="13" t="s">
        <v>31</v>
      </c>
      <c r="L25" s="13"/>
      <c r="M25" s="13"/>
      <c r="N25" s="13"/>
      <c r="O25" s="13"/>
      <c r="P25" s="13"/>
    </row>
    <row r="26" customFormat="false" ht="18" hidden="false" customHeight="true" outlineLevel="0" collapsed="false">
      <c r="B26" s="12" t="s">
        <v>32</v>
      </c>
      <c r="C26" s="12"/>
      <c r="D26" s="12"/>
      <c r="E26" s="12"/>
      <c r="F26" s="12"/>
      <c r="G26" s="12"/>
      <c r="H26" s="12"/>
      <c r="I26" s="12"/>
      <c r="J26" s="12"/>
      <c r="K26" s="13" t="s">
        <v>33</v>
      </c>
      <c r="L26" s="13"/>
      <c r="M26" s="13"/>
      <c r="N26" s="13"/>
      <c r="O26" s="13"/>
      <c r="P26" s="13"/>
    </row>
    <row r="27" customFormat="false" ht="18" hidden="false" customHeight="true" outlineLevel="0" collapsed="false">
      <c r="B27" s="12" t="s">
        <v>34</v>
      </c>
      <c r="C27" s="12"/>
      <c r="D27" s="12"/>
      <c r="E27" s="12"/>
      <c r="F27" s="12"/>
      <c r="G27" s="12"/>
      <c r="H27" s="12"/>
      <c r="I27" s="12"/>
      <c r="J27" s="12"/>
      <c r="K27" s="13" t="s">
        <v>35</v>
      </c>
      <c r="L27" s="13"/>
      <c r="M27" s="13"/>
      <c r="N27" s="13"/>
      <c r="O27" s="13"/>
      <c r="P27" s="13"/>
    </row>
    <row r="28" customFormat="false" ht="18" hidden="false" customHeight="true" outlineLevel="0" collapsed="false">
      <c r="B28" s="12" t="s">
        <v>36</v>
      </c>
      <c r="C28" s="12"/>
      <c r="D28" s="12"/>
      <c r="E28" s="12"/>
      <c r="F28" s="12"/>
      <c r="G28" s="12"/>
      <c r="H28" s="12"/>
      <c r="I28" s="12"/>
      <c r="J28" s="12"/>
      <c r="K28" s="13" t="s">
        <v>37</v>
      </c>
      <c r="L28" s="13"/>
      <c r="M28" s="13"/>
      <c r="N28" s="13"/>
      <c r="O28" s="13"/>
      <c r="P28" s="13"/>
    </row>
    <row r="29" customFormat="false" ht="7.5" hidden="false" customHeight="true" outlineLevel="0" collapsed="false"/>
    <row r="30" customFormat="false" ht="21.75" hidden="false" customHeight="true" outlineLevel="0" collapsed="false">
      <c r="B30" s="14" t="s">
        <v>38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</row>
    <row r="31" customFormat="false" ht="18" hidden="false" customHeight="true" outlineLevel="0" collapsed="false">
      <c r="B31" s="15" t="s">
        <v>39</v>
      </c>
      <c r="C31" s="15"/>
      <c r="D31" s="16" t="s">
        <v>40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</row>
    <row r="32" customFormat="false" ht="13.5" hidden="false" customHeight="true" outlineLevel="0" collapsed="false">
      <c r="B32" s="15"/>
      <c r="C32" s="15"/>
      <c r="D32" s="17" t="s">
        <v>41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customFormat="false" ht="18" hidden="false" customHeight="true" outlineLevel="0" collapsed="false">
      <c r="B33" s="15" t="s">
        <v>42</v>
      </c>
      <c r="C33" s="15"/>
      <c r="D33" s="16" t="s">
        <v>43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</row>
    <row r="34" customFormat="false" ht="13.5" hidden="false" customHeight="true" outlineLevel="0" collapsed="false">
      <c r="B34" s="15"/>
      <c r="C34" s="15"/>
      <c r="D34" s="17" t="s">
        <v>44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customFormat="false" ht="18" hidden="false" customHeight="true" outlineLevel="0" collapsed="false">
      <c r="B35" s="15" t="s">
        <v>45</v>
      </c>
      <c r="C35" s="15"/>
      <c r="D35" s="16" t="s">
        <v>46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</row>
    <row r="36" customFormat="false" ht="13.5" hidden="false" customHeight="true" outlineLevel="0" collapsed="false">
      <c r="B36" s="15"/>
      <c r="C36" s="15"/>
      <c r="D36" s="17" t="s">
        <v>47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customFormat="false" ht="18" hidden="false" customHeight="true" outlineLevel="0" collapsed="false">
      <c r="B37" s="15" t="s">
        <v>48</v>
      </c>
      <c r="C37" s="15"/>
      <c r="D37" s="16" t="s">
        <v>49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</row>
    <row r="38" customFormat="false" ht="13.5" hidden="false" customHeight="true" outlineLevel="0" collapsed="false">
      <c r="B38" s="15"/>
      <c r="C38" s="15"/>
      <c r="D38" s="17" t="s">
        <v>50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customFormat="false" ht="18" hidden="false" customHeight="true" outlineLevel="0" collapsed="false">
      <c r="B39" s="15" t="s">
        <v>51</v>
      </c>
      <c r="C39" s="15"/>
      <c r="D39" s="16" t="s">
        <v>52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</row>
    <row r="40" customFormat="false" ht="13.5" hidden="false" customHeight="true" outlineLevel="0" collapsed="false">
      <c r="B40" s="15"/>
      <c r="C40" s="15"/>
      <c r="D40" s="17" t="s">
        <v>53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</row>
    <row r="41" customFormat="false" ht="7.5" hidden="false" customHeight="true" outlineLevel="0" collapsed="false"/>
    <row r="42" customFormat="false" ht="21.75" hidden="false" customHeight="true" outlineLevel="0" collapsed="false">
      <c r="B42" s="18" t="s">
        <v>54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 customFormat="false" ht="19.5" hidden="false" customHeight="true" outlineLevel="0" collapsed="false">
      <c r="B43" s="19" t="s">
        <v>55</v>
      </c>
      <c r="C43" s="19"/>
      <c r="D43" s="19" t="s">
        <v>56</v>
      </c>
      <c r="E43" s="19"/>
      <c r="F43" s="19" t="s">
        <v>57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</row>
    <row r="44" customFormat="false" ht="19.5" hidden="false" customHeight="true" outlineLevel="0" collapsed="false">
      <c r="B44" s="20" t="s">
        <v>58</v>
      </c>
      <c r="C44" s="20"/>
      <c r="D44" s="21" t="s">
        <v>59</v>
      </c>
      <c r="E44" s="21"/>
      <c r="F44" s="22" t="s">
        <v>60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</row>
    <row r="45" customFormat="false" ht="19.5" hidden="false" customHeight="true" outlineLevel="0" collapsed="false">
      <c r="B45" s="20" t="s">
        <v>61</v>
      </c>
      <c r="C45" s="20"/>
      <c r="D45" s="21" t="s">
        <v>59</v>
      </c>
      <c r="E45" s="21"/>
      <c r="F45" s="22" t="s">
        <v>62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</row>
    <row r="46" customFormat="false" ht="19.5" hidden="false" customHeight="true" outlineLevel="0" collapsed="false">
      <c r="B46" s="20" t="s">
        <v>63</v>
      </c>
      <c r="C46" s="20"/>
      <c r="D46" s="21" t="s">
        <v>64</v>
      </c>
      <c r="E46" s="21"/>
      <c r="F46" s="22" t="s">
        <v>65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</row>
    <row r="47" customFormat="false" ht="19.5" hidden="false" customHeight="true" outlineLevel="0" collapsed="false">
      <c r="B47" s="20" t="s">
        <v>66</v>
      </c>
      <c r="C47" s="20"/>
      <c r="D47" s="21" t="s">
        <v>64</v>
      </c>
      <c r="E47" s="21"/>
      <c r="F47" s="22" t="s">
        <v>67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</row>
    <row r="48" customFormat="false" ht="19.5" hidden="false" customHeight="true" outlineLevel="0" collapsed="false">
      <c r="B48" s="20" t="s">
        <v>68</v>
      </c>
      <c r="C48" s="20"/>
      <c r="D48" s="21" t="s">
        <v>69</v>
      </c>
      <c r="E48" s="21"/>
      <c r="F48" s="22" t="s">
        <v>70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</row>
    <row r="49" customFormat="false" ht="7.5" hidden="false" customHeight="true" outlineLevel="0" collapsed="false"/>
    <row r="50" customFormat="false" ht="24" hidden="false" customHeight="true" outlineLevel="0" collapsed="false">
      <c r="B50" s="23" t="s">
        <v>71</v>
      </c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</row>
  </sheetData>
  <mergeCells count="74">
    <mergeCell ref="B1:P1"/>
    <mergeCell ref="B2:P2"/>
    <mergeCell ref="B4:P4"/>
    <mergeCell ref="B5:O8"/>
    <mergeCell ref="B10:P10"/>
    <mergeCell ref="B11:E11"/>
    <mergeCell ref="G11:P11"/>
    <mergeCell ref="B12:E12"/>
    <mergeCell ref="G12:P12"/>
    <mergeCell ref="B13:E13"/>
    <mergeCell ref="G13:P13"/>
    <mergeCell ref="B14:E14"/>
    <mergeCell ref="G14:P14"/>
    <mergeCell ref="B15:E15"/>
    <mergeCell ref="G15:P15"/>
    <mergeCell ref="B16:E16"/>
    <mergeCell ref="G16:P16"/>
    <mergeCell ref="B17:E17"/>
    <mergeCell ref="G17:P17"/>
    <mergeCell ref="B18:E18"/>
    <mergeCell ref="G18:P18"/>
    <mergeCell ref="B19:E19"/>
    <mergeCell ref="G19:P19"/>
    <mergeCell ref="B20:E20"/>
    <mergeCell ref="B21:E21"/>
    <mergeCell ref="B22:P22"/>
    <mergeCell ref="B23:J23"/>
    <mergeCell ref="K23:P23"/>
    <mergeCell ref="B24:J24"/>
    <mergeCell ref="K24:P24"/>
    <mergeCell ref="B25:J25"/>
    <mergeCell ref="K25:P25"/>
    <mergeCell ref="B26:J26"/>
    <mergeCell ref="K26:P26"/>
    <mergeCell ref="B27:J27"/>
    <mergeCell ref="K27:P27"/>
    <mergeCell ref="B28:J28"/>
    <mergeCell ref="K28:P28"/>
    <mergeCell ref="B30:P30"/>
    <mergeCell ref="B31:C32"/>
    <mergeCell ref="D31:P31"/>
    <mergeCell ref="D32:P32"/>
    <mergeCell ref="B33:C34"/>
    <mergeCell ref="D33:P33"/>
    <mergeCell ref="D34:P34"/>
    <mergeCell ref="B35:C36"/>
    <mergeCell ref="D35:P35"/>
    <mergeCell ref="D36:P36"/>
    <mergeCell ref="B37:C38"/>
    <mergeCell ref="D37:P37"/>
    <mergeCell ref="D38:P38"/>
    <mergeCell ref="B39:C40"/>
    <mergeCell ref="D39:P39"/>
    <mergeCell ref="D40:P40"/>
    <mergeCell ref="B42:P42"/>
    <mergeCell ref="B43:C43"/>
    <mergeCell ref="D43:E43"/>
    <mergeCell ref="F43:P43"/>
    <mergeCell ref="B44:C44"/>
    <mergeCell ref="D44:E44"/>
    <mergeCell ref="F44:P44"/>
    <mergeCell ref="B45:C45"/>
    <mergeCell ref="D45:E45"/>
    <mergeCell ref="F45:P45"/>
    <mergeCell ref="B46:C46"/>
    <mergeCell ref="D46:E46"/>
    <mergeCell ref="F46:P46"/>
    <mergeCell ref="B47:C47"/>
    <mergeCell ref="D47:E47"/>
    <mergeCell ref="F47:P47"/>
    <mergeCell ref="B48:C48"/>
    <mergeCell ref="D48:E48"/>
    <mergeCell ref="F48:P48"/>
    <mergeCell ref="B50:P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11" min="3" style="0" width="10"/>
  </cols>
  <sheetData>
    <row r="1" customFormat="false" ht="36" hidden="false" customHeight="true" outlineLevel="0" collapsed="false">
      <c r="A1" s="24" t="s">
        <v>72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18" hidden="false" customHeight="true" outlineLevel="0" collapsed="false">
      <c r="A2" s="2" t="s">
        <v>73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6" hidden="false" customHeight="true" outlineLevel="0" collapsed="false"/>
    <row r="4" customFormat="false" ht="21.75" hidden="false" customHeight="true" outlineLevel="0" collapsed="false">
      <c r="B4" s="3" t="s">
        <v>74</v>
      </c>
      <c r="C4" s="3"/>
      <c r="D4" s="3"/>
      <c r="E4" s="3"/>
      <c r="F4" s="3"/>
      <c r="G4" s="3"/>
      <c r="H4" s="3"/>
      <c r="I4" s="3"/>
      <c r="J4" s="3"/>
      <c r="K4" s="3"/>
    </row>
    <row r="5" customFormat="false" ht="25.5" hidden="false" customHeight="true" outlineLevel="0" collapsed="false">
      <c r="B5" s="25" t="s">
        <v>75</v>
      </c>
      <c r="C5" s="25" t="s">
        <v>76</v>
      </c>
      <c r="D5" s="25" t="s">
        <v>77</v>
      </c>
      <c r="E5" s="25" t="s">
        <v>78</v>
      </c>
      <c r="F5" s="25" t="s">
        <v>79</v>
      </c>
      <c r="G5" s="25"/>
      <c r="H5" s="25"/>
      <c r="I5" s="25"/>
      <c r="J5" s="25"/>
      <c r="K5" s="25"/>
    </row>
    <row r="6" customFormat="false" ht="18" hidden="false" customHeight="true" outlineLevel="0" collapsed="false">
      <c r="B6" s="26" t="s">
        <v>80</v>
      </c>
      <c r="C6" s="27"/>
      <c r="D6" s="28" t="s">
        <v>81</v>
      </c>
      <c r="E6" s="28" t="s">
        <v>82</v>
      </c>
      <c r="F6" s="29"/>
      <c r="G6" s="29"/>
      <c r="H6" s="29"/>
      <c r="I6" s="29"/>
      <c r="J6" s="29"/>
      <c r="K6" s="29"/>
    </row>
    <row r="7" customFormat="false" ht="18" hidden="false" customHeight="true" outlineLevel="0" collapsed="false">
      <c r="B7" s="26" t="s">
        <v>83</v>
      </c>
      <c r="C7" s="27"/>
      <c r="D7" s="28" t="s">
        <v>81</v>
      </c>
      <c r="E7" s="28" t="s">
        <v>82</v>
      </c>
      <c r="F7" s="29"/>
      <c r="G7" s="29"/>
      <c r="H7" s="29"/>
      <c r="I7" s="29"/>
      <c r="J7" s="29"/>
      <c r="K7" s="29"/>
    </row>
    <row r="8" customFormat="false" ht="18" hidden="false" customHeight="true" outlineLevel="0" collapsed="false">
      <c r="B8" s="30" t="s">
        <v>84</v>
      </c>
      <c r="C8" s="27"/>
      <c r="D8" s="28" t="s">
        <v>85</v>
      </c>
      <c r="E8" s="28" t="s">
        <v>86</v>
      </c>
      <c r="F8" s="29"/>
      <c r="G8" s="29"/>
      <c r="H8" s="29"/>
      <c r="I8" s="29"/>
      <c r="J8" s="29"/>
      <c r="K8" s="29"/>
    </row>
    <row r="9" customFormat="false" ht="18" hidden="false" customHeight="true" outlineLevel="0" collapsed="false">
      <c r="B9" s="30" t="s">
        <v>87</v>
      </c>
      <c r="C9" s="27"/>
      <c r="D9" s="28" t="s">
        <v>85</v>
      </c>
      <c r="E9" s="28" t="s">
        <v>86</v>
      </c>
      <c r="F9" s="29"/>
      <c r="G9" s="29"/>
      <c r="H9" s="29"/>
      <c r="I9" s="29"/>
      <c r="J9" s="29"/>
      <c r="K9" s="29"/>
    </row>
    <row r="10" customFormat="false" ht="18" hidden="false" customHeight="true" outlineLevel="0" collapsed="false">
      <c r="B10" s="30" t="s">
        <v>88</v>
      </c>
      <c r="C10" s="27"/>
      <c r="D10" s="28" t="s">
        <v>85</v>
      </c>
      <c r="E10" s="28" t="s">
        <v>86</v>
      </c>
      <c r="F10" s="29"/>
      <c r="G10" s="29"/>
      <c r="H10" s="29"/>
      <c r="I10" s="29"/>
      <c r="J10" s="29"/>
      <c r="K10" s="29"/>
    </row>
    <row r="11" customFormat="false" ht="18" hidden="false" customHeight="true" outlineLevel="0" collapsed="false">
      <c r="B11" s="30" t="s">
        <v>89</v>
      </c>
      <c r="C11" s="27"/>
      <c r="D11" s="28" t="s">
        <v>85</v>
      </c>
      <c r="E11" s="28" t="s">
        <v>86</v>
      </c>
      <c r="F11" s="29"/>
      <c r="G11" s="29"/>
      <c r="H11" s="29"/>
      <c r="I11" s="29"/>
      <c r="J11" s="29"/>
      <c r="K11" s="29"/>
    </row>
    <row r="12" customFormat="false" ht="18" hidden="false" customHeight="true" outlineLevel="0" collapsed="false">
      <c r="B12" s="4" t="s">
        <v>90</v>
      </c>
      <c r="C12" s="27"/>
      <c r="D12" s="28" t="s">
        <v>91</v>
      </c>
      <c r="E12" s="28" t="s">
        <v>86</v>
      </c>
      <c r="F12" s="29"/>
      <c r="G12" s="29"/>
      <c r="H12" s="29"/>
      <c r="I12" s="29"/>
      <c r="J12" s="29"/>
      <c r="K12" s="29"/>
    </row>
    <row r="13" customFormat="false" ht="18" hidden="false" customHeight="true" outlineLevel="0" collapsed="false">
      <c r="B13" s="4" t="s">
        <v>92</v>
      </c>
      <c r="C13" s="27"/>
      <c r="D13" s="28" t="s">
        <v>91</v>
      </c>
      <c r="E13" s="28" t="s">
        <v>86</v>
      </c>
      <c r="F13" s="29"/>
      <c r="G13" s="29"/>
      <c r="H13" s="29"/>
      <c r="I13" s="29"/>
      <c r="J13" s="29"/>
      <c r="K13" s="29"/>
    </row>
    <row r="14" customFormat="false" ht="18" hidden="false" customHeight="true" outlineLevel="0" collapsed="false">
      <c r="B14" s="4" t="s">
        <v>93</v>
      </c>
      <c r="C14" s="27"/>
      <c r="D14" s="28" t="s">
        <v>91</v>
      </c>
      <c r="E14" s="28" t="s">
        <v>86</v>
      </c>
      <c r="F14" s="29"/>
      <c r="G14" s="29"/>
      <c r="H14" s="29"/>
      <c r="I14" s="29"/>
      <c r="J14" s="29"/>
      <c r="K14" s="29"/>
    </row>
    <row r="15" customFormat="false" ht="18" hidden="false" customHeight="true" outlineLevel="0" collapsed="false">
      <c r="B15" s="4" t="s">
        <v>94</v>
      </c>
      <c r="C15" s="27"/>
      <c r="D15" s="28" t="s">
        <v>85</v>
      </c>
      <c r="E15" s="28" t="s">
        <v>86</v>
      </c>
      <c r="F15" s="29"/>
      <c r="G15" s="29"/>
      <c r="H15" s="29"/>
      <c r="I15" s="29"/>
      <c r="J15" s="29"/>
      <c r="K15" s="29"/>
    </row>
    <row r="16" customFormat="false" ht="18" hidden="false" customHeight="true" outlineLevel="0" collapsed="false">
      <c r="B16" s="4" t="s">
        <v>95</v>
      </c>
      <c r="C16" s="27"/>
      <c r="D16" s="28" t="s">
        <v>91</v>
      </c>
      <c r="E16" s="28" t="s">
        <v>86</v>
      </c>
      <c r="F16" s="29"/>
      <c r="G16" s="29"/>
      <c r="H16" s="29"/>
      <c r="I16" s="29"/>
      <c r="J16" s="29"/>
      <c r="K16" s="29"/>
    </row>
    <row r="17" customFormat="false" ht="18" hidden="false" customHeight="true" outlineLevel="0" collapsed="false">
      <c r="B17" s="4" t="s">
        <v>96</v>
      </c>
      <c r="C17" s="27"/>
      <c r="D17" s="28" t="s">
        <v>91</v>
      </c>
      <c r="E17" s="28" t="s">
        <v>86</v>
      </c>
      <c r="F17" s="29"/>
      <c r="G17" s="29"/>
      <c r="H17" s="29"/>
      <c r="I17" s="29"/>
      <c r="J17" s="29"/>
      <c r="K17" s="29"/>
    </row>
    <row r="19" customFormat="false" ht="7.5" hidden="false" customHeight="true" outlineLevel="0" collapsed="false"/>
    <row r="20" customFormat="false" ht="21.75" hidden="false" customHeight="true" outlineLevel="0" collapsed="false">
      <c r="B20" s="5" t="s">
        <v>97</v>
      </c>
      <c r="C20" s="5"/>
      <c r="D20" s="5"/>
      <c r="E20" s="5"/>
      <c r="F20" s="5"/>
      <c r="G20" s="5"/>
      <c r="H20" s="5"/>
      <c r="I20" s="5"/>
      <c r="J20" s="5"/>
      <c r="K20" s="5"/>
    </row>
    <row r="21" customFormat="false" ht="19.5" hidden="false" customHeight="true" outlineLevel="0" collapsed="false">
      <c r="B21" s="31" t="s">
        <v>98</v>
      </c>
      <c r="C21" s="31"/>
      <c r="D21" s="31"/>
      <c r="E21" s="31"/>
      <c r="F21" s="31"/>
      <c r="G21" s="32" t="s">
        <v>99</v>
      </c>
      <c r="H21" s="32"/>
      <c r="I21" s="32"/>
      <c r="J21" s="32"/>
      <c r="K21" s="32"/>
    </row>
    <row r="22" customFormat="false" ht="13.5" hidden="false" customHeight="true" outlineLevel="0" collapsed="false">
      <c r="B22" s="33" t="s">
        <v>100</v>
      </c>
      <c r="C22" s="33"/>
      <c r="D22" s="33"/>
      <c r="E22" s="33"/>
      <c r="F22" s="33"/>
      <c r="G22" s="34" t="s">
        <v>101</v>
      </c>
      <c r="H22" s="34"/>
      <c r="I22" s="34"/>
      <c r="J22" s="34"/>
      <c r="K22" s="34"/>
    </row>
    <row r="23" customFormat="false" ht="18" hidden="false" customHeight="true" outlineLevel="0" collapsed="false">
      <c r="B23" s="35" t="s">
        <v>102</v>
      </c>
      <c r="C23" s="35"/>
      <c r="D23" s="35"/>
      <c r="E23" s="35"/>
      <c r="F23" s="35"/>
      <c r="G23" s="35" t="s">
        <v>102</v>
      </c>
      <c r="H23" s="35"/>
      <c r="I23" s="35"/>
      <c r="J23" s="35"/>
      <c r="K23" s="35"/>
    </row>
    <row r="24" customFormat="false" ht="18" hidden="false" customHeight="true" outlineLevel="0" collapsed="false">
      <c r="B24" s="35" t="s">
        <v>103</v>
      </c>
      <c r="C24" s="35"/>
      <c r="D24" s="35"/>
      <c r="E24" s="35"/>
      <c r="F24" s="35"/>
      <c r="G24" s="35" t="s">
        <v>103</v>
      </c>
      <c r="H24" s="35"/>
      <c r="I24" s="35"/>
      <c r="J24" s="35"/>
      <c r="K24" s="35"/>
    </row>
    <row r="25" customFormat="false" ht="18" hidden="false" customHeight="true" outlineLevel="0" collapsed="false">
      <c r="B25" s="35" t="s">
        <v>104</v>
      </c>
      <c r="C25" s="35"/>
      <c r="D25" s="35"/>
      <c r="E25" s="35"/>
      <c r="F25" s="35"/>
      <c r="G25" s="35" t="s">
        <v>104</v>
      </c>
      <c r="H25" s="35"/>
      <c r="I25" s="35"/>
      <c r="J25" s="35"/>
      <c r="K25" s="35"/>
    </row>
    <row r="26" customFormat="false" ht="18" hidden="false" customHeight="true" outlineLevel="0" collapsed="false">
      <c r="B26" s="35" t="s">
        <v>105</v>
      </c>
      <c r="C26" s="35"/>
      <c r="D26" s="35"/>
      <c r="E26" s="35"/>
      <c r="F26" s="35"/>
      <c r="G26" s="35" t="s">
        <v>105</v>
      </c>
      <c r="H26" s="35"/>
      <c r="I26" s="35"/>
      <c r="J26" s="35"/>
      <c r="K26" s="35"/>
    </row>
    <row r="27" customFormat="false" ht="18" hidden="false" customHeight="true" outlineLevel="0" collapsed="false">
      <c r="B27" s="35" t="s">
        <v>106</v>
      </c>
      <c r="C27" s="35"/>
      <c r="D27" s="35"/>
      <c r="E27" s="35"/>
      <c r="F27" s="35"/>
      <c r="G27" s="35" t="s">
        <v>106</v>
      </c>
      <c r="H27" s="35"/>
      <c r="I27" s="35"/>
      <c r="J27" s="35"/>
      <c r="K27" s="35"/>
    </row>
    <row r="28" customFormat="false" ht="18" hidden="false" customHeight="true" outlineLevel="0" collapsed="false">
      <c r="B28" s="35" t="s">
        <v>107</v>
      </c>
      <c r="C28" s="35"/>
      <c r="D28" s="35"/>
      <c r="E28" s="35"/>
      <c r="F28" s="35"/>
      <c r="G28" s="35" t="s">
        <v>107</v>
      </c>
      <c r="H28" s="35"/>
      <c r="I28" s="35"/>
      <c r="J28" s="35"/>
      <c r="K28" s="35"/>
    </row>
    <row r="29" customFormat="false" ht="19.5" hidden="false" customHeight="true" outlineLevel="0" collapsed="false">
      <c r="B29" s="7" t="s">
        <v>108</v>
      </c>
      <c r="C29" s="7"/>
      <c r="D29" s="7"/>
      <c r="E29" s="7"/>
      <c r="F29" s="7"/>
      <c r="G29" s="36" t="s">
        <v>109</v>
      </c>
      <c r="H29" s="36"/>
      <c r="I29" s="36"/>
      <c r="J29" s="36"/>
      <c r="K29" s="36"/>
    </row>
    <row r="30" customFormat="false" ht="13.5" hidden="false" customHeight="true" outlineLevel="0" collapsed="false">
      <c r="B30" s="37" t="s">
        <v>110</v>
      </c>
      <c r="C30" s="37"/>
      <c r="D30" s="37"/>
      <c r="E30" s="37"/>
      <c r="F30" s="37"/>
      <c r="G30" s="38" t="s">
        <v>111</v>
      </c>
      <c r="H30" s="38"/>
      <c r="I30" s="38"/>
      <c r="J30" s="38"/>
      <c r="K30" s="38"/>
    </row>
    <row r="31" customFormat="false" ht="18" hidden="false" customHeight="true" outlineLevel="0" collapsed="false">
      <c r="B31" s="35" t="s">
        <v>102</v>
      </c>
      <c r="C31" s="35"/>
      <c r="D31" s="35"/>
      <c r="E31" s="35"/>
      <c r="F31" s="35"/>
      <c r="G31" s="35" t="s">
        <v>102</v>
      </c>
      <c r="H31" s="35"/>
      <c r="I31" s="35"/>
      <c r="J31" s="35"/>
      <c r="K31" s="35"/>
    </row>
    <row r="32" customFormat="false" ht="18" hidden="false" customHeight="true" outlineLevel="0" collapsed="false">
      <c r="B32" s="35" t="s">
        <v>103</v>
      </c>
      <c r="C32" s="35"/>
      <c r="D32" s="35"/>
      <c r="E32" s="35"/>
      <c r="F32" s="35"/>
      <c r="G32" s="35" t="s">
        <v>103</v>
      </c>
      <c r="H32" s="35"/>
      <c r="I32" s="35"/>
      <c r="J32" s="35"/>
      <c r="K32" s="35"/>
    </row>
    <row r="33" customFormat="false" ht="18" hidden="false" customHeight="true" outlineLevel="0" collapsed="false">
      <c r="B33" s="35" t="s">
        <v>104</v>
      </c>
      <c r="C33" s="35"/>
      <c r="D33" s="35"/>
      <c r="E33" s="35"/>
      <c r="F33" s="35"/>
      <c r="G33" s="35" t="s">
        <v>104</v>
      </c>
      <c r="H33" s="35"/>
      <c r="I33" s="35"/>
      <c r="J33" s="35"/>
      <c r="K33" s="35"/>
    </row>
    <row r="34" customFormat="false" ht="18" hidden="false" customHeight="true" outlineLevel="0" collapsed="false">
      <c r="B34" s="35" t="s">
        <v>105</v>
      </c>
      <c r="C34" s="35"/>
      <c r="D34" s="35"/>
      <c r="E34" s="35"/>
      <c r="F34" s="35"/>
      <c r="G34" s="35" t="s">
        <v>105</v>
      </c>
      <c r="H34" s="35"/>
      <c r="I34" s="35"/>
      <c r="J34" s="35"/>
      <c r="K34" s="35"/>
    </row>
    <row r="35" customFormat="false" ht="18" hidden="false" customHeight="true" outlineLevel="0" collapsed="false">
      <c r="B35" s="35" t="s">
        <v>106</v>
      </c>
      <c r="C35" s="35"/>
      <c r="D35" s="35"/>
      <c r="E35" s="35"/>
      <c r="F35" s="35"/>
      <c r="G35" s="35" t="s">
        <v>106</v>
      </c>
      <c r="H35" s="35"/>
      <c r="I35" s="35"/>
      <c r="J35" s="35"/>
      <c r="K35" s="35"/>
    </row>
    <row r="36" customFormat="false" ht="18" hidden="false" customHeight="true" outlineLevel="0" collapsed="false">
      <c r="B36" s="35" t="s">
        <v>107</v>
      </c>
      <c r="C36" s="35"/>
      <c r="D36" s="35"/>
      <c r="E36" s="35"/>
      <c r="F36" s="35"/>
      <c r="G36" s="35" t="s">
        <v>107</v>
      </c>
      <c r="H36" s="35"/>
      <c r="I36" s="35"/>
      <c r="J36" s="35"/>
      <c r="K36" s="35"/>
    </row>
    <row r="38" customFormat="false" ht="7.5" hidden="false" customHeight="true" outlineLevel="0" collapsed="false"/>
    <row r="39" customFormat="false" ht="21.75" hidden="false" customHeight="true" outlineLevel="0" collapsed="false">
      <c r="B39" s="39" t="s">
        <v>112</v>
      </c>
      <c r="C39" s="39"/>
      <c r="D39" s="39"/>
      <c r="E39" s="39"/>
      <c r="F39" s="39"/>
      <c r="G39" s="39"/>
      <c r="H39" s="39"/>
      <c r="I39" s="39"/>
      <c r="J39" s="39"/>
      <c r="K39" s="39"/>
    </row>
    <row r="40" customFormat="false" ht="25.5" hidden="false" customHeight="true" outlineLevel="0" collapsed="false">
      <c r="B40" s="40" t="s">
        <v>113</v>
      </c>
      <c r="C40" s="40" t="s">
        <v>114</v>
      </c>
      <c r="D40" s="40" t="s">
        <v>115</v>
      </c>
      <c r="E40" s="40" t="s">
        <v>116</v>
      </c>
      <c r="F40" s="40" t="s">
        <v>117</v>
      </c>
      <c r="G40" s="40" t="s">
        <v>118</v>
      </c>
      <c r="H40" s="40" t="s">
        <v>119</v>
      </c>
    </row>
    <row r="41" customFormat="false" ht="18" hidden="false" customHeight="true" outlineLevel="0" collapsed="false">
      <c r="B41" s="41"/>
      <c r="C41" s="41"/>
      <c r="D41" s="27"/>
      <c r="E41" s="28"/>
      <c r="F41" s="42" t="n">
        <f aca="false">IFERROR(D41/C41,0)</f>
        <v>0</v>
      </c>
      <c r="G41" s="28"/>
      <c r="H41" s="28"/>
    </row>
    <row r="42" customFormat="false" ht="18" hidden="false" customHeight="true" outlineLevel="0" collapsed="false">
      <c r="B42" s="41"/>
      <c r="C42" s="41"/>
      <c r="D42" s="27"/>
      <c r="E42" s="28"/>
      <c r="F42" s="42" t="n">
        <f aca="false">IFERROR(D42/C42,0)</f>
        <v>0</v>
      </c>
      <c r="G42" s="28"/>
      <c r="H42" s="28"/>
    </row>
    <row r="43" customFormat="false" ht="18" hidden="false" customHeight="true" outlineLevel="0" collapsed="false">
      <c r="B43" s="41"/>
      <c r="C43" s="41"/>
      <c r="D43" s="27"/>
      <c r="E43" s="28"/>
      <c r="F43" s="42" t="n">
        <f aca="false">IFERROR(D43/C43,0)</f>
        <v>0</v>
      </c>
      <c r="G43" s="28"/>
      <c r="H43" s="28"/>
    </row>
    <row r="44" customFormat="false" ht="18" hidden="false" customHeight="true" outlineLevel="0" collapsed="false">
      <c r="B44" s="43" t="s">
        <v>120</v>
      </c>
      <c r="C44" s="43" t="s">
        <v>121</v>
      </c>
      <c r="D44" s="44" t="s">
        <v>122</v>
      </c>
      <c r="E44" s="45" t="s">
        <v>123</v>
      </c>
      <c r="F44" s="44" t="n">
        <f aca="false">IFERROR(D44/C44,0)</f>
        <v>0</v>
      </c>
      <c r="G44" s="45" t="s">
        <v>124</v>
      </c>
      <c r="H44" s="45" t="s">
        <v>125</v>
      </c>
    </row>
  </sheetData>
  <mergeCells count="50">
    <mergeCell ref="A1:K1"/>
    <mergeCell ref="A2:K2"/>
    <mergeCell ref="B4:K4"/>
    <mergeCell ref="F5:K5"/>
    <mergeCell ref="F6:K6"/>
    <mergeCell ref="F7:K7"/>
    <mergeCell ref="F8:K8"/>
    <mergeCell ref="F9:K9"/>
    <mergeCell ref="F10:K10"/>
    <mergeCell ref="F11:K11"/>
    <mergeCell ref="F12:K12"/>
    <mergeCell ref="F13:K13"/>
    <mergeCell ref="F14:K14"/>
    <mergeCell ref="F15:K15"/>
    <mergeCell ref="F16:K16"/>
    <mergeCell ref="F17:K17"/>
    <mergeCell ref="B20:K20"/>
    <mergeCell ref="B21:F21"/>
    <mergeCell ref="G21:K21"/>
    <mergeCell ref="B22:F22"/>
    <mergeCell ref="G22:K22"/>
    <mergeCell ref="B23:F23"/>
    <mergeCell ref="G23:K23"/>
    <mergeCell ref="B24:F24"/>
    <mergeCell ref="G24:K24"/>
    <mergeCell ref="B25:F25"/>
    <mergeCell ref="G25:K25"/>
    <mergeCell ref="B26:F26"/>
    <mergeCell ref="G26:K26"/>
    <mergeCell ref="B27:F27"/>
    <mergeCell ref="G27:K27"/>
    <mergeCell ref="B28:F28"/>
    <mergeCell ref="G28:K28"/>
    <mergeCell ref="B29:F29"/>
    <mergeCell ref="G29:K29"/>
    <mergeCell ref="B30:F30"/>
    <mergeCell ref="G30:K30"/>
    <mergeCell ref="B31:F31"/>
    <mergeCell ref="G31:K31"/>
    <mergeCell ref="B32:F32"/>
    <mergeCell ref="G32:K32"/>
    <mergeCell ref="B33:F33"/>
    <mergeCell ref="G33:K33"/>
    <mergeCell ref="B34:F34"/>
    <mergeCell ref="G34:K34"/>
    <mergeCell ref="B35:F35"/>
    <mergeCell ref="G35:K35"/>
    <mergeCell ref="B36:F36"/>
    <mergeCell ref="G36:K36"/>
    <mergeCell ref="B39:K39"/>
  </mergeCells>
  <dataValidations count="3">
    <dataValidation allowBlank="false" errorStyle="stop" operator="between" showDropDown="false" showErrorMessage="true" showInputMessage="false" sqref="C6:C17" type="whole">
      <formula1>1</formula1>
      <formula2>5</formula2>
    </dataValidation>
    <dataValidation allowBlank="true" errorStyle="stop" operator="between" showDropDown="false" showErrorMessage="false" showInputMessage="false" sqref="D6:D17" type="list">
      <formula1>"Висок,Среден,Нисък"</formula1>
      <formula2>0</formula2>
    </dataValidation>
    <dataValidation allowBlank="true" errorStyle="stop" operator="between" showDropDown="false" showErrorMessage="false" showInputMessage="false" sqref="E6:E17" type="list">
      <formula1>"Да,Не,Частично"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12" min="3" style="0" width="9"/>
  </cols>
  <sheetData>
    <row r="1" customFormat="false" ht="36" hidden="false" customHeight="true" outlineLevel="0" collapsed="false">
      <c r="A1" s="24" t="s">
        <v>126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customFormat="false" ht="18" hidden="false" customHeight="true" outlineLevel="0" collapsed="false">
      <c r="A2" s="2" t="s">
        <v>127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6" hidden="false" customHeight="true" outlineLevel="0" collapsed="false"/>
    <row r="4" customFormat="false" ht="21.75" hidden="false" customHeight="true" outlineLevel="0" collapsed="false">
      <c r="B4" s="14" t="s">
        <v>128</v>
      </c>
      <c r="C4" s="14"/>
      <c r="D4" s="14"/>
      <c r="E4" s="14"/>
      <c r="F4" s="14"/>
      <c r="G4" s="14"/>
      <c r="H4" s="14"/>
      <c r="I4" s="14"/>
      <c r="J4" s="14"/>
      <c r="K4" s="14"/>
      <c r="L4" s="14"/>
    </row>
    <row r="5" customFormat="false" ht="18" hidden="false" customHeight="true" outlineLevel="0" collapsed="false">
      <c r="B5" s="46" t="s">
        <v>129</v>
      </c>
      <c r="C5" s="46"/>
      <c r="D5" s="46"/>
      <c r="F5" s="47" t="s">
        <v>130</v>
      </c>
      <c r="G5" s="47"/>
      <c r="H5" s="47"/>
      <c r="J5" s="48" t="s">
        <v>131</v>
      </c>
      <c r="K5" s="48"/>
      <c r="L5" s="48"/>
    </row>
    <row r="6" customFormat="false" ht="18" hidden="false" customHeight="true" outlineLevel="0" collapsed="false">
      <c r="B6" s="49" t="s">
        <v>132</v>
      </c>
      <c r="C6" s="49"/>
      <c r="D6" s="49"/>
      <c r="F6" s="49" t="s">
        <v>132</v>
      </c>
      <c r="G6" s="49"/>
      <c r="H6" s="49"/>
      <c r="J6" s="49" t="s">
        <v>132</v>
      </c>
      <c r="K6" s="49"/>
      <c r="L6" s="49"/>
    </row>
    <row r="7" customFormat="false" ht="39.75" hidden="false" customHeight="true" outlineLevel="0" collapsed="false">
      <c r="B7" s="50" t="s">
        <v>133</v>
      </c>
      <c r="C7" s="50"/>
      <c r="D7" s="50"/>
      <c r="F7" s="50" t="s">
        <v>134</v>
      </c>
      <c r="G7" s="50"/>
      <c r="H7" s="50"/>
      <c r="J7" s="50" t="s">
        <v>135</v>
      </c>
      <c r="K7" s="50"/>
      <c r="L7" s="50"/>
    </row>
    <row r="9" customFormat="false" ht="18" hidden="false" customHeight="true" outlineLevel="0" collapsed="false">
      <c r="B9" s="16" t="s">
        <v>136</v>
      </c>
      <c r="C9" s="16"/>
      <c r="D9" s="16"/>
      <c r="F9" s="16" t="s">
        <v>136</v>
      </c>
      <c r="G9" s="16"/>
      <c r="H9" s="16"/>
      <c r="J9" s="16" t="s">
        <v>136</v>
      </c>
      <c r="K9" s="16"/>
      <c r="L9" s="16"/>
    </row>
    <row r="10" customFormat="false" ht="39.75" hidden="false" customHeight="true" outlineLevel="0" collapsed="false">
      <c r="B10" s="51" t="s">
        <v>137</v>
      </c>
      <c r="C10" s="51"/>
      <c r="D10" s="51"/>
      <c r="F10" s="51" t="s">
        <v>138</v>
      </c>
      <c r="G10" s="51"/>
      <c r="H10" s="51"/>
      <c r="J10" s="51" t="s">
        <v>139</v>
      </c>
      <c r="K10" s="51"/>
      <c r="L10" s="51"/>
    </row>
    <row r="12" customFormat="false" ht="21.75" hidden="false" customHeight="true" outlineLevel="0" collapsed="false">
      <c r="B12" s="52" t="s">
        <v>140</v>
      </c>
      <c r="C12" s="52"/>
      <c r="D12" s="52"/>
      <c r="E12" s="52"/>
      <c r="F12" s="52"/>
      <c r="G12" s="52"/>
      <c r="H12" s="52"/>
      <c r="I12" s="52"/>
      <c r="J12" s="52"/>
      <c r="K12" s="52"/>
      <c r="L12" s="52"/>
    </row>
    <row r="13" customFormat="false" ht="27.75" hidden="false" customHeight="true" outlineLevel="0" collapsed="false">
      <c r="B13" s="53" t="s">
        <v>141</v>
      </c>
      <c r="C13" s="53"/>
      <c r="D13" s="53"/>
      <c r="E13" s="53"/>
      <c r="F13" s="53"/>
      <c r="G13" s="53"/>
      <c r="H13" s="53"/>
      <c r="I13" s="53"/>
      <c r="J13" s="53"/>
      <c r="K13" s="53"/>
      <c r="L13" s="53"/>
    </row>
    <row r="14" customFormat="false" ht="49.5" hidden="false" customHeight="true" outlineLevel="0" collapsed="false">
      <c r="B14" s="54" t="s">
        <v>142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</row>
    <row r="15" customFormat="false" ht="7.5" hidden="false" customHeight="true" outlineLevel="0" collapsed="false"/>
    <row r="16" customFormat="false" ht="21.75" hidden="false" customHeight="true" outlineLevel="0" collapsed="false">
      <c r="B16" s="18" t="s">
        <v>143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 customFormat="false" ht="21.75" hidden="false" customHeight="true" outlineLevel="0" collapsed="false">
      <c r="C17" s="55" t="s">
        <v>144</v>
      </c>
      <c r="D17" s="55"/>
      <c r="E17" s="55"/>
      <c r="F17" s="19" t="s">
        <v>145</v>
      </c>
      <c r="G17" s="19"/>
      <c r="H17" s="19"/>
      <c r="I17" s="56" t="s">
        <v>146</v>
      </c>
      <c r="J17" s="56"/>
      <c r="K17" s="56"/>
      <c r="L17" s="57" t="s">
        <v>147</v>
      </c>
      <c r="M17" s="57"/>
      <c r="N17" s="57"/>
    </row>
    <row r="18" customFormat="false" ht="21.75" hidden="false" customHeight="true" outlineLevel="0" collapsed="false">
      <c r="B18" s="58"/>
      <c r="C18" s="35" t="s">
        <v>102</v>
      </c>
      <c r="D18" s="35"/>
      <c r="E18" s="35"/>
      <c r="F18" s="35" t="s">
        <v>102</v>
      </c>
      <c r="G18" s="35"/>
      <c r="H18" s="35"/>
      <c r="I18" s="35" t="s">
        <v>102</v>
      </c>
      <c r="J18" s="35"/>
      <c r="K18" s="35"/>
      <c r="L18" s="35" t="s">
        <v>102</v>
      </c>
      <c r="M18" s="35"/>
      <c r="N18" s="35"/>
    </row>
    <row r="19" customFormat="false" ht="21.75" hidden="false" customHeight="true" outlineLevel="0" collapsed="false">
      <c r="B19" s="58"/>
      <c r="C19" s="35" t="s">
        <v>103</v>
      </c>
      <c r="D19" s="35"/>
      <c r="E19" s="35"/>
      <c r="F19" s="35" t="s">
        <v>103</v>
      </c>
      <c r="G19" s="35"/>
      <c r="H19" s="35"/>
      <c r="I19" s="35" t="s">
        <v>103</v>
      </c>
      <c r="J19" s="35"/>
      <c r="K19" s="35"/>
      <c r="L19" s="35" t="s">
        <v>103</v>
      </c>
      <c r="M19" s="35"/>
      <c r="N19" s="35"/>
    </row>
    <row r="20" customFormat="false" ht="21.75" hidden="false" customHeight="true" outlineLevel="0" collapsed="false">
      <c r="B20" s="58"/>
      <c r="C20" s="35" t="s">
        <v>104</v>
      </c>
      <c r="D20" s="35"/>
      <c r="E20" s="35"/>
      <c r="F20" s="35" t="s">
        <v>104</v>
      </c>
      <c r="G20" s="35"/>
      <c r="H20" s="35"/>
      <c r="I20" s="35" t="s">
        <v>104</v>
      </c>
      <c r="J20" s="35"/>
      <c r="K20" s="35"/>
      <c r="L20" s="35" t="s">
        <v>104</v>
      </c>
      <c r="M20" s="35"/>
      <c r="N20" s="35"/>
    </row>
    <row r="21" customFormat="false" ht="21.75" hidden="false" customHeight="true" outlineLevel="0" collapsed="false">
      <c r="B21" s="58"/>
      <c r="C21" s="35" t="s">
        <v>105</v>
      </c>
      <c r="D21" s="35"/>
      <c r="E21" s="35"/>
      <c r="F21" s="35" t="s">
        <v>105</v>
      </c>
      <c r="G21" s="35"/>
      <c r="H21" s="35"/>
      <c r="I21" s="35" t="s">
        <v>105</v>
      </c>
      <c r="J21" s="35"/>
      <c r="K21" s="35"/>
      <c r="L21" s="35" t="s">
        <v>105</v>
      </c>
      <c r="M21" s="35"/>
      <c r="N21" s="35"/>
    </row>
    <row r="22" customFormat="false" ht="21.75" hidden="false" customHeight="true" outlineLevel="0" collapsed="false">
      <c r="B22" s="58"/>
      <c r="C22" s="35" t="s">
        <v>106</v>
      </c>
      <c r="D22" s="35"/>
      <c r="E22" s="35"/>
      <c r="F22" s="35" t="s">
        <v>106</v>
      </c>
      <c r="G22" s="35"/>
      <c r="H22" s="35"/>
      <c r="I22" s="35" t="s">
        <v>106</v>
      </c>
      <c r="J22" s="35"/>
      <c r="K22" s="35"/>
      <c r="L22" s="35" t="s">
        <v>106</v>
      </c>
      <c r="M22" s="35"/>
      <c r="N22" s="35"/>
    </row>
    <row r="23" customFormat="false" ht="21.75" hidden="false" customHeight="true" outlineLevel="0" collapsed="false">
      <c r="B23" s="58"/>
      <c r="C23" s="35" t="s">
        <v>107</v>
      </c>
      <c r="D23" s="35"/>
      <c r="E23" s="35"/>
      <c r="F23" s="35" t="s">
        <v>107</v>
      </c>
      <c r="G23" s="35"/>
      <c r="H23" s="35"/>
      <c r="I23" s="35" t="s">
        <v>107</v>
      </c>
      <c r="J23" s="35"/>
      <c r="K23" s="35"/>
      <c r="L23" s="35" t="s">
        <v>107</v>
      </c>
      <c r="M23" s="35"/>
      <c r="N23" s="35"/>
    </row>
    <row r="25" customFormat="false" ht="7.5" hidden="false" customHeight="true" outlineLevel="0" collapsed="false"/>
    <row r="26" customFormat="false" ht="21.75" hidden="false" customHeight="true" outlineLevel="0" collapsed="false">
      <c r="B26" s="3" t="s">
        <v>148</v>
      </c>
      <c r="C26" s="3"/>
      <c r="D26" s="3"/>
      <c r="E26" s="3"/>
      <c r="F26" s="3"/>
      <c r="G26" s="3"/>
      <c r="H26" s="3"/>
      <c r="I26" s="3"/>
      <c r="J26" s="3"/>
      <c r="K26" s="3"/>
      <c r="L26" s="3"/>
    </row>
    <row r="27" customFormat="false" ht="27.75" hidden="false" customHeight="true" outlineLevel="0" collapsed="false">
      <c r="B27" s="25" t="s">
        <v>149</v>
      </c>
      <c r="C27" s="25" t="s">
        <v>150</v>
      </c>
      <c r="D27" s="25" t="s">
        <v>151</v>
      </c>
      <c r="E27" s="25"/>
      <c r="F27" s="25"/>
      <c r="G27" s="25" t="s">
        <v>152</v>
      </c>
      <c r="H27" s="25"/>
      <c r="I27" s="25" t="s">
        <v>153</v>
      </c>
      <c r="J27" s="25"/>
      <c r="K27" s="25" t="s">
        <v>154</v>
      </c>
      <c r="L27" s="25"/>
    </row>
    <row r="28" customFormat="false" ht="18" hidden="false" customHeight="true" outlineLevel="0" collapsed="false">
      <c r="B28" s="30" t="s">
        <v>155</v>
      </c>
      <c r="C28" s="28"/>
      <c r="D28" s="35"/>
      <c r="E28" s="35"/>
      <c r="F28" s="35"/>
      <c r="G28" s="28"/>
      <c r="H28" s="28"/>
      <c r="I28" s="28"/>
      <c r="J28" s="28"/>
      <c r="K28" s="28" t="s">
        <v>82</v>
      </c>
      <c r="L28" s="28"/>
    </row>
    <row r="29" customFormat="false" ht="18" hidden="false" customHeight="true" outlineLevel="0" collapsed="false">
      <c r="B29" s="30" t="s">
        <v>156</v>
      </c>
      <c r="C29" s="28"/>
      <c r="D29" s="35"/>
      <c r="E29" s="35"/>
      <c r="F29" s="35"/>
      <c r="G29" s="28"/>
      <c r="H29" s="28"/>
      <c r="I29" s="28"/>
      <c r="J29" s="28"/>
      <c r="K29" s="28" t="s">
        <v>82</v>
      </c>
      <c r="L29" s="28"/>
    </row>
    <row r="30" customFormat="false" ht="18" hidden="false" customHeight="true" outlineLevel="0" collapsed="false">
      <c r="B30" s="4" t="s">
        <v>157</v>
      </c>
      <c r="C30" s="28"/>
      <c r="D30" s="35"/>
      <c r="E30" s="35"/>
      <c r="F30" s="35"/>
      <c r="G30" s="28"/>
      <c r="H30" s="28"/>
      <c r="I30" s="28"/>
      <c r="J30" s="28"/>
      <c r="K30" s="28" t="s">
        <v>82</v>
      </c>
      <c r="L30" s="28"/>
    </row>
    <row r="31" customFormat="false" ht="18" hidden="false" customHeight="true" outlineLevel="0" collapsed="false">
      <c r="B31" s="4" t="s">
        <v>158</v>
      </c>
      <c r="C31" s="28"/>
      <c r="D31" s="35"/>
      <c r="E31" s="35"/>
      <c r="F31" s="35"/>
      <c r="G31" s="28"/>
      <c r="H31" s="28"/>
      <c r="I31" s="28"/>
      <c r="J31" s="28"/>
      <c r="K31" s="28" t="s">
        <v>82</v>
      </c>
      <c r="L31" s="28"/>
    </row>
    <row r="32" customFormat="false" ht="18" hidden="false" customHeight="true" outlineLevel="0" collapsed="false">
      <c r="B32" s="4" t="s">
        <v>159</v>
      </c>
      <c r="C32" s="28"/>
      <c r="D32" s="35"/>
      <c r="E32" s="35"/>
      <c r="F32" s="35"/>
      <c r="G32" s="28"/>
      <c r="H32" s="28"/>
      <c r="I32" s="28"/>
      <c r="J32" s="28"/>
      <c r="K32" s="28" t="s">
        <v>82</v>
      </c>
      <c r="L32" s="28"/>
    </row>
    <row r="33" customFormat="false" ht="18" hidden="false" customHeight="true" outlineLevel="0" collapsed="false">
      <c r="B33" s="4" t="s">
        <v>160</v>
      </c>
      <c r="C33" s="28"/>
      <c r="D33" s="35"/>
      <c r="E33" s="35"/>
      <c r="F33" s="35"/>
      <c r="G33" s="28"/>
      <c r="H33" s="28"/>
      <c r="I33" s="28"/>
      <c r="J33" s="28"/>
      <c r="K33" s="28" t="s">
        <v>82</v>
      </c>
      <c r="L33" s="28"/>
    </row>
    <row r="34" customFormat="false" ht="18" hidden="false" customHeight="true" outlineLevel="0" collapsed="false">
      <c r="B34" s="4" t="s">
        <v>161</v>
      </c>
      <c r="C34" s="28"/>
      <c r="D34" s="35"/>
      <c r="E34" s="35"/>
      <c r="F34" s="35"/>
      <c r="G34" s="28"/>
      <c r="H34" s="28"/>
      <c r="I34" s="28"/>
      <c r="J34" s="28"/>
      <c r="K34" s="28" t="s">
        <v>82</v>
      </c>
      <c r="L34" s="28"/>
    </row>
    <row r="35" customFormat="false" ht="18" hidden="false" customHeight="true" outlineLevel="0" collapsed="false">
      <c r="B35" s="4" t="s">
        <v>90</v>
      </c>
      <c r="C35" s="28"/>
      <c r="D35" s="35"/>
      <c r="E35" s="35"/>
      <c r="F35" s="35"/>
      <c r="G35" s="28"/>
      <c r="H35" s="28"/>
      <c r="I35" s="28"/>
      <c r="J35" s="28"/>
      <c r="K35" s="28" t="s">
        <v>82</v>
      </c>
      <c r="L35" s="28"/>
    </row>
    <row r="36" customFormat="false" ht="18" hidden="false" customHeight="true" outlineLevel="0" collapsed="false">
      <c r="B36" s="4" t="s">
        <v>92</v>
      </c>
      <c r="C36" s="28"/>
      <c r="D36" s="35"/>
      <c r="E36" s="35"/>
      <c r="F36" s="35"/>
      <c r="G36" s="28"/>
      <c r="H36" s="28"/>
      <c r="I36" s="28"/>
      <c r="J36" s="28"/>
      <c r="K36" s="28" t="s">
        <v>82</v>
      </c>
      <c r="L36" s="28"/>
    </row>
    <row r="37" customFormat="false" ht="18" hidden="false" customHeight="true" outlineLevel="0" collapsed="false">
      <c r="B37" s="4" t="s">
        <v>162</v>
      </c>
      <c r="C37" s="28"/>
      <c r="D37" s="35"/>
      <c r="E37" s="35"/>
      <c r="F37" s="35"/>
      <c r="G37" s="28"/>
      <c r="H37" s="28"/>
      <c r="I37" s="28"/>
      <c r="J37" s="28"/>
      <c r="K37" s="28" t="s">
        <v>82</v>
      </c>
      <c r="L37" s="28"/>
    </row>
  </sheetData>
  <mergeCells count="95">
    <mergeCell ref="A1:L1"/>
    <mergeCell ref="A2:L2"/>
    <mergeCell ref="B4:L4"/>
    <mergeCell ref="B5:D5"/>
    <mergeCell ref="F5:H5"/>
    <mergeCell ref="J5:L5"/>
    <mergeCell ref="B6:D6"/>
    <mergeCell ref="F6:H6"/>
    <mergeCell ref="J6:L6"/>
    <mergeCell ref="B7:D7"/>
    <mergeCell ref="F7:H7"/>
    <mergeCell ref="J7:L7"/>
    <mergeCell ref="B9:D9"/>
    <mergeCell ref="F9:H9"/>
    <mergeCell ref="J9:L9"/>
    <mergeCell ref="B10:D10"/>
    <mergeCell ref="F10:H10"/>
    <mergeCell ref="J10:L10"/>
    <mergeCell ref="B12:L12"/>
    <mergeCell ref="B13:L13"/>
    <mergeCell ref="B14:L14"/>
    <mergeCell ref="B16:L16"/>
    <mergeCell ref="C17:E17"/>
    <mergeCell ref="F17:H17"/>
    <mergeCell ref="I17:K17"/>
    <mergeCell ref="L17:N17"/>
    <mergeCell ref="C18:E18"/>
    <mergeCell ref="F18:H18"/>
    <mergeCell ref="I18:K18"/>
    <mergeCell ref="L18:N18"/>
    <mergeCell ref="C19:E19"/>
    <mergeCell ref="F19:H19"/>
    <mergeCell ref="I19:K19"/>
    <mergeCell ref="L19:N19"/>
    <mergeCell ref="C20:E20"/>
    <mergeCell ref="F20:H20"/>
    <mergeCell ref="I20:K20"/>
    <mergeCell ref="L20:N20"/>
    <mergeCell ref="C21:E21"/>
    <mergeCell ref="F21:H21"/>
    <mergeCell ref="I21:K21"/>
    <mergeCell ref="L21:N21"/>
    <mergeCell ref="C22:E22"/>
    <mergeCell ref="F22:H22"/>
    <mergeCell ref="I22:K22"/>
    <mergeCell ref="L22:N22"/>
    <mergeCell ref="C23:E23"/>
    <mergeCell ref="F23:H23"/>
    <mergeCell ref="I23:K23"/>
    <mergeCell ref="L23:N23"/>
    <mergeCell ref="B26:L26"/>
    <mergeCell ref="D27:F27"/>
    <mergeCell ref="G27:H27"/>
    <mergeCell ref="I27:J27"/>
    <mergeCell ref="K27:L27"/>
    <mergeCell ref="D28:F28"/>
    <mergeCell ref="G28:H28"/>
    <mergeCell ref="I28:J28"/>
    <mergeCell ref="K28:L28"/>
    <mergeCell ref="D29:F29"/>
    <mergeCell ref="G29:H29"/>
    <mergeCell ref="I29:J29"/>
    <mergeCell ref="K29:L29"/>
    <mergeCell ref="D30:F30"/>
    <mergeCell ref="G30:H30"/>
    <mergeCell ref="I30:J30"/>
    <mergeCell ref="K30:L30"/>
    <mergeCell ref="D31:F31"/>
    <mergeCell ref="G31:H31"/>
    <mergeCell ref="I31:J31"/>
    <mergeCell ref="K31:L31"/>
    <mergeCell ref="D32:F32"/>
    <mergeCell ref="G32:H32"/>
    <mergeCell ref="I32:J32"/>
    <mergeCell ref="K32:L32"/>
    <mergeCell ref="D33:F33"/>
    <mergeCell ref="G33:H33"/>
    <mergeCell ref="I33:J33"/>
    <mergeCell ref="K33:L33"/>
    <mergeCell ref="D34:F34"/>
    <mergeCell ref="G34:H34"/>
    <mergeCell ref="I34:J34"/>
    <mergeCell ref="K34:L34"/>
    <mergeCell ref="D35:F35"/>
    <mergeCell ref="G35:H35"/>
    <mergeCell ref="I35:J35"/>
    <mergeCell ref="K35:L35"/>
    <mergeCell ref="D36:F36"/>
    <mergeCell ref="G36:H36"/>
    <mergeCell ref="I36:J36"/>
    <mergeCell ref="K36:L36"/>
    <mergeCell ref="D37:F37"/>
    <mergeCell ref="G37:H37"/>
    <mergeCell ref="I37:J37"/>
    <mergeCell ref="K37:L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11" min="3" style="0" width="8"/>
  </cols>
  <sheetData>
    <row r="1" customFormat="false" ht="36" hidden="false" customHeight="true" outlineLevel="0" collapsed="false">
      <c r="A1" s="24" t="s">
        <v>163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18" hidden="false" customHeight="true" outlineLevel="0" collapsed="false">
      <c r="A2" s="2" t="s">
        <v>164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6" hidden="false" customHeight="true" outlineLevel="0" collapsed="false"/>
    <row r="4" customFormat="false" ht="21.75" hidden="false" customHeight="true" outlineLevel="0" collapsed="false">
      <c r="B4" s="5" t="s">
        <v>165</v>
      </c>
      <c r="C4" s="5"/>
      <c r="D4" s="5"/>
      <c r="E4" s="5"/>
      <c r="F4" s="5"/>
      <c r="G4" s="5"/>
      <c r="H4" s="5"/>
      <c r="I4" s="5"/>
      <c r="J4" s="5"/>
      <c r="K4" s="5"/>
    </row>
    <row r="5" customFormat="false" ht="27.75" hidden="false" customHeight="true" outlineLevel="0" collapsed="false">
      <c r="B5" s="59" t="s">
        <v>166</v>
      </c>
      <c r="C5" s="59" t="s">
        <v>167</v>
      </c>
      <c r="D5" s="59" t="s">
        <v>168</v>
      </c>
      <c r="E5" s="59" t="s">
        <v>169</v>
      </c>
      <c r="F5" s="59" t="s">
        <v>170</v>
      </c>
      <c r="G5" s="59" t="s">
        <v>171</v>
      </c>
      <c r="H5" s="59" t="s">
        <v>172</v>
      </c>
      <c r="I5" s="59" t="s">
        <v>173</v>
      </c>
      <c r="J5" s="59" t="s">
        <v>174</v>
      </c>
      <c r="K5" s="59"/>
    </row>
    <row r="6" customFormat="false" ht="19.5" hidden="false" customHeight="true" outlineLevel="0" collapsed="false">
      <c r="B6" s="60" t="s">
        <v>175</v>
      </c>
      <c r="C6" s="60"/>
      <c r="D6" s="60"/>
      <c r="E6" s="60"/>
      <c r="F6" s="60"/>
      <c r="G6" s="60"/>
      <c r="H6" s="60"/>
      <c r="I6" s="60"/>
      <c r="J6" s="60"/>
      <c r="K6" s="60"/>
    </row>
    <row r="7" customFormat="false" ht="18" hidden="false" customHeight="true" outlineLevel="0" collapsed="false">
      <c r="B7" s="26" t="s">
        <v>176</v>
      </c>
      <c r="C7" s="61" t="n">
        <v>1</v>
      </c>
      <c r="D7" s="27" t="n">
        <v>0</v>
      </c>
      <c r="E7" s="27" t="n">
        <v>4500</v>
      </c>
      <c r="F7" s="42" t="n">
        <f aca="false">IFERROR(C7*D7,0)</f>
        <v>0</v>
      </c>
      <c r="G7" s="42" t="n">
        <f aca="false">IFERROR(C7*E7,0)</f>
        <v>4500</v>
      </c>
      <c r="H7" s="62" t="n">
        <f aca="false">F7+G7</f>
        <v>4500</v>
      </c>
      <c r="I7" s="28" t="s">
        <v>81</v>
      </c>
      <c r="J7" s="35"/>
      <c r="K7" s="35"/>
    </row>
    <row r="8" customFormat="false" ht="18" hidden="false" customHeight="true" outlineLevel="0" collapsed="false">
      <c r="B8" s="26" t="s">
        <v>177</v>
      </c>
      <c r="C8" s="61" t="n">
        <v>1</v>
      </c>
      <c r="D8" s="27" t="n">
        <v>0</v>
      </c>
      <c r="E8" s="27" t="n">
        <v>3200</v>
      </c>
      <c r="F8" s="42" t="n">
        <f aca="false">IFERROR(C8*D8,0)</f>
        <v>0</v>
      </c>
      <c r="G8" s="42" t="n">
        <f aca="false">IFERROR(C8*E8,0)</f>
        <v>3200</v>
      </c>
      <c r="H8" s="62" t="n">
        <f aca="false">F8+G8</f>
        <v>3200</v>
      </c>
      <c r="I8" s="28" t="s">
        <v>81</v>
      </c>
      <c r="J8" s="35"/>
      <c r="K8" s="35"/>
    </row>
    <row r="9" customFormat="false" ht="19.5" hidden="false" customHeight="true" outlineLevel="0" collapsed="false">
      <c r="B9" s="63" t="s">
        <v>178</v>
      </c>
      <c r="C9" s="63"/>
      <c r="D9" s="63"/>
      <c r="E9" s="63"/>
      <c r="F9" s="63"/>
      <c r="G9" s="63"/>
      <c r="H9" s="63"/>
      <c r="I9" s="63"/>
      <c r="J9" s="63"/>
      <c r="K9" s="63"/>
    </row>
    <row r="10" customFormat="false" ht="18" hidden="false" customHeight="true" outlineLevel="0" collapsed="false">
      <c r="B10" s="30" t="s">
        <v>179</v>
      </c>
      <c r="C10" s="61" t="n">
        <v>6</v>
      </c>
      <c r="D10" s="27" t="n">
        <v>18</v>
      </c>
      <c r="E10" s="27" t="n">
        <v>15</v>
      </c>
      <c r="F10" s="42" t="n">
        <f aca="false">IFERROR(C10*D10,0)</f>
        <v>108</v>
      </c>
      <c r="G10" s="42" t="n">
        <f aca="false">IFERROR(C10*E10,0)</f>
        <v>90</v>
      </c>
      <c r="H10" s="62" t="n">
        <f aca="false">F10+G10</f>
        <v>198</v>
      </c>
      <c r="I10" s="28" t="s">
        <v>81</v>
      </c>
      <c r="J10" s="35"/>
      <c r="K10" s="35"/>
    </row>
    <row r="11" customFormat="false" ht="18" hidden="false" customHeight="true" outlineLevel="0" collapsed="false">
      <c r="B11" s="30" t="s">
        <v>180</v>
      </c>
      <c r="C11" s="61" t="n">
        <v>8</v>
      </c>
      <c r="D11" s="27" t="n">
        <v>55</v>
      </c>
      <c r="E11" s="27" t="n">
        <v>35</v>
      </c>
      <c r="F11" s="42" t="n">
        <f aca="false">IFERROR(C11*D11,0)</f>
        <v>440</v>
      </c>
      <c r="G11" s="42" t="n">
        <f aca="false">IFERROR(C11*E11,0)</f>
        <v>280</v>
      </c>
      <c r="H11" s="62" t="n">
        <f aca="false">F11+G11</f>
        <v>720</v>
      </c>
      <c r="I11" s="28" t="s">
        <v>81</v>
      </c>
      <c r="J11" s="35"/>
      <c r="K11" s="35"/>
    </row>
    <row r="12" customFormat="false" ht="18" hidden="false" customHeight="true" outlineLevel="0" collapsed="false">
      <c r="B12" s="30" t="s">
        <v>181</v>
      </c>
      <c r="C12" s="61" t="n">
        <v>1</v>
      </c>
      <c r="D12" s="27" t="n">
        <v>0</v>
      </c>
      <c r="E12" s="27" t="n">
        <v>900</v>
      </c>
      <c r="F12" s="42" t="n">
        <f aca="false">IFERROR(C12*D12,0)</f>
        <v>0</v>
      </c>
      <c r="G12" s="42" t="n">
        <f aca="false">IFERROR(C12*E12,0)</f>
        <v>900</v>
      </c>
      <c r="H12" s="62" t="n">
        <f aca="false">F12+G12</f>
        <v>900</v>
      </c>
      <c r="I12" s="28" t="s">
        <v>81</v>
      </c>
      <c r="J12" s="35"/>
      <c r="K12" s="35"/>
    </row>
    <row r="13" customFormat="false" ht="18" hidden="false" customHeight="true" outlineLevel="0" collapsed="false">
      <c r="B13" s="30" t="s">
        <v>182</v>
      </c>
      <c r="C13" s="61" t="n">
        <v>5</v>
      </c>
      <c r="D13" s="27" t="n">
        <v>380</v>
      </c>
      <c r="E13" s="27" t="n">
        <v>150</v>
      </c>
      <c r="F13" s="42" t="n">
        <f aca="false">IFERROR(C13*D13,0)</f>
        <v>1900</v>
      </c>
      <c r="G13" s="42" t="n">
        <f aca="false">IFERROR(C13*E13,0)</f>
        <v>750</v>
      </c>
      <c r="H13" s="62" t="n">
        <f aca="false">F13+G13</f>
        <v>2650</v>
      </c>
      <c r="I13" s="28" t="s">
        <v>85</v>
      </c>
      <c r="J13" s="35"/>
      <c r="K13" s="35"/>
    </row>
    <row r="14" customFormat="false" ht="18" hidden="false" customHeight="true" outlineLevel="0" collapsed="false">
      <c r="B14" s="30" t="s">
        <v>183</v>
      </c>
      <c r="C14" s="61" t="n">
        <v>42</v>
      </c>
      <c r="D14" s="27" t="n">
        <v>35</v>
      </c>
      <c r="E14" s="27" t="n">
        <v>18</v>
      </c>
      <c r="F14" s="42" t="n">
        <f aca="false">IFERROR(C14*D14,0)</f>
        <v>1470</v>
      </c>
      <c r="G14" s="42" t="n">
        <f aca="false">IFERROR(C14*E14,0)</f>
        <v>756</v>
      </c>
      <c r="H14" s="62" t="n">
        <f aca="false">F14+G14</f>
        <v>2226</v>
      </c>
      <c r="I14" s="28" t="s">
        <v>85</v>
      </c>
      <c r="J14" s="35"/>
      <c r="K14" s="35"/>
    </row>
    <row r="15" customFormat="false" ht="18" hidden="false" customHeight="true" outlineLevel="0" collapsed="false">
      <c r="B15" s="30" t="s">
        <v>159</v>
      </c>
      <c r="C15" s="61" t="n">
        <v>95</v>
      </c>
      <c r="D15" s="27" t="n">
        <v>0</v>
      </c>
      <c r="E15" s="27" t="n">
        <v>12</v>
      </c>
      <c r="F15" s="42" t="n">
        <f aca="false">IFERROR(C15*D15,0)</f>
        <v>0</v>
      </c>
      <c r="G15" s="42" t="n">
        <f aca="false">IFERROR(C15*E15,0)</f>
        <v>1140</v>
      </c>
      <c r="H15" s="62" t="n">
        <f aca="false">F15+G15</f>
        <v>1140</v>
      </c>
      <c r="I15" s="28" t="s">
        <v>85</v>
      </c>
      <c r="J15" s="35"/>
      <c r="K15" s="35"/>
    </row>
    <row r="16" customFormat="false" ht="18" hidden="false" customHeight="true" outlineLevel="0" collapsed="false">
      <c r="B16" s="30" t="s">
        <v>184</v>
      </c>
      <c r="C16" s="61" t="n">
        <v>95</v>
      </c>
      <c r="D16" s="27" t="n">
        <v>4</v>
      </c>
      <c r="E16" s="27" t="n">
        <v>10</v>
      </c>
      <c r="F16" s="42" t="n">
        <f aca="false">IFERROR(C16*D16,0)</f>
        <v>380</v>
      </c>
      <c r="G16" s="42" t="n">
        <f aca="false">IFERROR(C16*E16,0)</f>
        <v>950</v>
      </c>
      <c r="H16" s="62" t="n">
        <f aca="false">F16+G16</f>
        <v>1330</v>
      </c>
      <c r="I16" s="28" t="s">
        <v>85</v>
      </c>
      <c r="J16" s="35"/>
      <c r="K16" s="35"/>
    </row>
    <row r="17" customFormat="false" ht="19.5" hidden="false" customHeight="true" outlineLevel="0" collapsed="false">
      <c r="B17" s="64" t="s">
        <v>185</v>
      </c>
      <c r="C17" s="64"/>
      <c r="D17" s="64"/>
      <c r="E17" s="64"/>
      <c r="F17" s="64"/>
      <c r="G17" s="64"/>
      <c r="H17" s="64"/>
      <c r="I17" s="64"/>
      <c r="J17" s="64"/>
      <c r="K17" s="64"/>
    </row>
    <row r="18" customFormat="false" ht="18" hidden="false" customHeight="true" outlineLevel="0" collapsed="false">
      <c r="B18" s="4" t="s">
        <v>186</v>
      </c>
      <c r="C18" s="61" t="n">
        <v>1</v>
      </c>
      <c r="D18" s="27" t="n">
        <v>0</v>
      </c>
      <c r="E18" s="27" t="n">
        <v>3800</v>
      </c>
      <c r="F18" s="42" t="n">
        <f aca="false">IFERROR(C18*D18,0)</f>
        <v>0</v>
      </c>
      <c r="G18" s="42" t="n">
        <f aca="false">IFERROR(C18*E18,0)</f>
        <v>3800</v>
      </c>
      <c r="H18" s="62" t="n">
        <f aca="false">F18+G18</f>
        <v>3800</v>
      </c>
      <c r="I18" s="28" t="s">
        <v>91</v>
      </c>
      <c r="J18" s="35"/>
      <c r="K18" s="35"/>
    </row>
    <row r="19" customFormat="false" ht="18" hidden="false" customHeight="true" outlineLevel="0" collapsed="false">
      <c r="B19" s="4" t="s">
        <v>187</v>
      </c>
      <c r="C19" s="61" t="n">
        <v>1</v>
      </c>
      <c r="D19" s="27" t="n">
        <v>0</v>
      </c>
      <c r="E19" s="27" t="n">
        <v>1200</v>
      </c>
      <c r="F19" s="42" t="n">
        <f aca="false">IFERROR(C19*D19,0)</f>
        <v>0</v>
      </c>
      <c r="G19" s="42" t="n">
        <f aca="false">IFERROR(C19*E19,0)</f>
        <v>1200</v>
      </c>
      <c r="H19" s="62" t="n">
        <f aca="false">F19+G19</f>
        <v>1200</v>
      </c>
      <c r="I19" s="28" t="s">
        <v>91</v>
      </c>
      <c r="J19" s="35"/>
      <c r="K19" s="35"/>
    </row>
    <row r="20" customFormat="false" ht="18" hidden="false" customHeight="true" outlineLevel="0" collapsed="false">
      <c r="B20" s="4" t="s">
        <v>188</v>
      </c>
      <c r="C20" s="61" t="n">
        <v>1</v>
      </c>
      <c r="D20" s="27" t="n">
        <v>0</v>
      </c>
      <c r="E20" s="27" t="n">
        <v>650</v>
      </c>
      <c r="F20" s="42" t="n">
        <f aca="false">IFERROR(C20*D20,0)</f>
        <v>0</v>
      </c>
      <c r="G20" s="42" t="n">
        <f aca="false">IFERROR(C20*E20,0)</f>
        <v>650</v>
      </c>
      <c r="H20" s="62" t="n">
        <f aca="false">F20+G20</f>
        <v>650</v>
      </c>
      <c r="I20" s="28" t="s">
        <v>91</v>
      </c>
      <c r="J20" s="35"/>
      <c r="K20" s="35"/>
    </row>
    <row r="21" customFormat="false" ht="18" hidden="false" customHeight="true" outlineLevel="0" collapsed="false">
      <c r="B21" s="4" t="s">
        <v>189</v>
      </c>
      <c r="C21" s="61" t="n">
        <v>1</v>
      </c>
      <c r="D21" s="27" t="n">
        <v>900</v>
      </c>
      <c r="E21" s="27" t="n">
        <v>350</v>
      </c>
      <c r="F21" s="42" t="n">
        <f aca="false">IFERROR(C21*D21,0)</f>
        <v>900</v>
      </c>
      <c r="G21" s="42" t="n">
        <f aca="false">IFERROR(C21*E21,0)</f>
        <v>350</v>
      </c>
      <c r="H21" s="62" t="n">
        <f aca="false">F21+G21</f>
        <v>1250</v>
      </c>
      <c r="I21" s="28" t="s">
        <v>91</v>
      </c>
      <c r="J21" s="35"/>
      <c r="K21" s="35"/>
    </row>
    <row r="22" customFormat="false" ht="18" hidden="false" customHeight="true" outlineLevel="0" collapsed="false">
      <c r="B22" s="4" t="s">
        <v>190</v>
      </c>
      <c r="C22" s="61" t="n">
        <v>3</v>
      </c>
      <c r="D22" s="27" t="n">
        <v>220</v>
      </c>
      <c r="E22" s="27" t="n">
        <v>120</v>
      </c>
      <c r="F22" s="42" t="n">
        <f aca="false">IFERROR(C22*D22,0)</f>
        <v>660</v>
      </c>
      <c r="G22" s="42" t="n">
        <f aca="false">IFERROR(C22*E22,0)</f>
        <v>360</v>
      </c>
      <c r="H22" s="62" t="n">
        <f aca="false">F22+G22</f>
        <v>1020</v>
      </c>
      <c r="I22" s="28" t="s">
        <v>91</v>
      </c>
      <c r="J22" s="35"/>
      <c r="K22" s="35"/>
    </row>
    <row r="23" customFormat="false" ht="19.5" hidden="false" customHeight="true" outlineLevel="0" collapsed="false">
      <c r="B23" s="65" t="s">
        <v>191</v>
      </c>
      <c r="C23" s="65"/>
      <c r="D23" s="65"/>
      <c r="E23" s="65"/>
      <c r="F23" s="65"/>
      <c r="G23" s="65"/>
      <c r="H23" s="65"/>
      <c r="I23" s="65"/>
      <c r="J23" s="65"/>
      <c r="K23" s="65"/>
    </row>
    <row r="24" customFormat="false" ht="18" hidden="false" customHeight="true" outlineLevel="0" collapsed="false">
      <c r="B24" s="66" t="s">
        <v>192</v>
      </c>
      <c r="C24" s="61" t="n">
        <v>18</v>
      </c>
      <c r="D24" s="27" t="n">
        <v>0</v>
      </c>
      <c r="E24" s="27" t="n">
        <v>35</v>
      </c>
      <c r="F24" s="42" t="n">
        <f aca="false">IFERROR(C24*D24,0)</f>
        <v>0</v>
      </c>
      <c r="G24" s="42" t="n">
        <f aca="false">IFERROR(C24*E24,0)</f>
        <v>630</v>
      </c>
      <c r="H24" s="62" t="n">
        <f aca="false">F24+G24</f>
        <v>630</v>
      </c>
      <c r="I24" s="28" t="s">
        <v>91</v>
      </c>
      <c r="J24" s="35"/>
      <c r="K24" s="35"/>
    </row>
    <row r="25" customFormat="false" ht="18" hidden="false" customHeight="true" outlineLevel="0" collapsed="false">
      <c r="B25" s="66" t="s">
        <v>193</v>
      </c>
      <c r="C25" s="61" t="n">
        <v>1</v>
      </c>
      <c r="D25" s="27" t="n">
        <v>0</v>
      </c>
      <c r="E25" s="27" t="n">
        <v>600</v>
      </c>
      <c r="F25" s="42" t="n">
        <f aca="false">IFERROR(C25*D25,0)</f>
        <v>0</v>
      </c>
      <c r="G25" s="42" t="n">
        <f aca="false">IFERROR(C25*E25,0)</f>
        <v>600</v>
      </c>
      <c r="H25" s="62" t="n">
        <f aca="false">F25+G25</f>
        <v>600</v>
      </c>
      <c r="I25" s="28" t="s">
        <v>81</v>
      </c>
      <c r="J25" s="35"/>
      <c r="K25" s="35"/>
    </row>
    <row r="26" customFormat="false" ht="18" hidden="false" customHeight="true" outlineLevel="0" collapsed="false">
      <c r="B26" s="66" t="s">
        <v>194</v>
      </c>
      <c r="C26" s="61" t="n">
        <v>1</v>
      </c>
      <c r="D26" s="27" t="n">
        <v>0</v>
      </c>
      <c r="E26" s="27" t="n">
        <v>300</v>
      </c>
      <c r="F26" s="42" t="n">
        <f aca="false">IFERROR(C26*D26,0)</f>
        <v>0</v>
      </c>
      <c r="G26" s="42" t="n">
        <f aca="false">IFERROR(C26*E26,0)</f>
        <v>300</v>
      </c>
      <c r="H26" s="62" t="n">
        <f aca="false">F26+G26</f>
        <v>300</v>
      </c>
      <c r="I26" s="28" t="s">
        <v>81</v>
      </c>
      <c r="J26" s="35"/>
      <c r="K26" s="35"/>
    </row>
    <row r="27" customFormat="false" ht="18" hidden="false" customHeight="true" outlineLevel="0" collapsed="false">
      <c r="B27" s="66" t="s">
        <v>195</v>
      </c>
      <c r="C27" s="61" t="n">
        <v>1</v>
      </c>
      <c r="D27" s="27" t="n">
        <v>0</v>
      </c>
      <c r="E27" s="27" t="n">
        <v>0</v>
      </c>
      <c r="F27" s="42" t="n">
        <f aca="false">IFERROR(C27*D27,0)</f>
        <v>0</v>
      </c>
      <c r="G27" s="42" t="n">
        <f aca="false">IFERROR(C27*E27,0)</f>
        <v>0</v>
      </c>
      <c r="H27" s="62" t="n">
        <f aca="false">F27+G27</f>
        <v>0</v>
      </c>
      <c r="I27" s="28" t="s">
        <v>81</v>
      </c>
      <c r="J27" s="35"/>
      <c r="K27" s="35"/>
    </row>
    <row r="28" customFormat="false" ht="3.75" hidden="false" customHeight="true" outlineLevel="0" collapsed="false"/>
    <row r="29" customFormat="false" ht="21.75" hidden="false" customHeight="true" outlineLevel="0" collapsed="false">
      <c r="B29" s="67" t="s">
        <v>196</v>
      </c>
      <c r="C29" s="67"/>
      <c r="D29" s="67"/>
      <c r="E29" s="67"/>
      <c r="F29" s="68" t="n">
        <f aca="false">SUMIF(I6:I27,"Висок",H6:H27)</f>
        <v>10418</v>
      </c>
      <c r="G29" s="68" t="n">
        <f aca="false">SUMIF(I6:I27,"Среден",H6:H27)+SUMIF(I6:I27,"Висок",H6:H27)</f>
        <v>17764</v>
      </c>
      <c r="H29" s="68" t="n">
        <f aca="false">SUM(H6:H27)</f>
        <v>26314</v>
      </c>
    </row>
    <row r="30" customFormat="false" ht="19.5" hidden="false" customHeight="true" outlineLevel="0" collapsed="false">
      <c r="B30" s="69" t="s">
        <v>197</v>
      </c>
      <c r="C30" s="69"/>
      <c r="D30" s="69"/>
      <c r="E30" s="69"/>
      <c r="F30" s="69"/>
      <c r="G30" s="69"/>
      <c r="H30" s="70" t="n">
        <f aca="false">H29*0.2</f>
        <v>5262.8</v>
      </c>
    </row>
    <row r="31" customFormat="false" ht="24" hidden="false" customHeight="true" outlineLevel="0" collapsed="false">
      <c r="B31" s="71" t="s">
        <v>198</v>
      </c>
      <c r="C31" s="71"/>
      <c r="D31" s="71"/>
      <c r="E31" s="71"/>
      <c r="F31" s="71"/>
      <c r="G31" s="71"/>
      <c r="H31" s="72" t="n">
        <f aca="false">H29+H30</f>
        <v>31576.8</v>
      </c>
    </row>
  </sheetData>
  <mergeCells count="29">
    <mergeCell ref="A1:K1"/>
    <mergeCell ref="A2:K2"/>
    <mergeCell ref="B4:K4"/>
    <mergeCell ref="J5:K5"/>
    <mergeCell ref="B6:K6"/>
    <mergeCell ref="J7:K7"/>
    <mergeCell ref="J8:K8"/>
    <mergeCell ref="B9:K9"/>
    <mergeCell ref="J10:K10"/>
    <mergeCell ref="J11:K11"/>
    <mergeCell ref="J12:K12"/>
    <mergeCell ref="J13:K13"/>
    <mergeCell ref="J14:K14"/>
    <mergeCell ref="J15:K15"/>
    <mergeCell ref="J16:K16"/>
    <mergeCell ref="B17:K17"/>
    <mergeCell ref="J18:K18"/>
    <mergeCell ref="J19:K19"/>
    <mergeCell ref="J20:K20"/>
    <mergeCell ref="J21:K21"/>
    <mergeCell ref="J22:K22"/>
    <mergeCell ref="B23:K23"/>
    <mergeCell ref="J24:K24"/>
    <mergeCell ref="J25:K25"/>
    <mergeCell ref="J26:K26"/>
    <mergeCell ref="J27:K27"/>
    <mergeCell ref="B29:E29"/>
    <mergeCell ref="B30:G30"/>
    <mergeCell ref="B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4"/>
  </cols>
  <sheetData>
    <row r="1" customFormat="false" ht="36" hidden="false" customHeight="true" outlineLevel="0" collapsed="false">
      <c r="A1" s="24" t="s">
        <v>199</v>
      </c>
      <c r="B1" s="24"/>
      <c r="C1" s="24"/>
      <c r="D1" s="24"/>
      <c r="E1" s="24"/>
      <c r="F1" s="24"/>
      <c r="G1" s="24"/>
    </row>
    <row r="2" customFormat="false" ht="18" hidden="false" customHeight="true" outlineLevel="0" collapsed="false">
      <c r="A2" s="2" t="s">
        <v>200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30" hidden="false" customHeight="true" outlineLevel="0" collapsed="false">
      <c r="C4" s="73" t="s">
        <v>201</v>
      </c>
      <c r="D4" s="74" t="s">
        <v>202</v>
      </c>
      <c r="E4" s="75" t="s">
        <v>203</v>
      </c>
      <c r="G4" s="76" t="s">
        <v>204</v>
      </c>
    </row>
    <row r="5" customFormat="false" ht="21.75" hidden="false" customHeight="true" outlineLevel="0" collapsed="false">
      <c r="B5" s="77" t="s">
        <v>205</v>
      </c>
      <c r="C5" s="77"/>
      <c r="D5" s="77"/>
      <c r="E5" s="77"/>
      <c r="F5" s="77"/>
      <c r="G5" s="77"/>
    </row>
    <row r="6" customFormat="false" ht="19.5" hidden="false" customHeight="true" outlineLevel="0" collapsed="false">
      <c r="B6" s="78" t="s">
        <v>206</v>
      </c>
      <c r="C6" s="27" t="n">
        <v>94000</v>
      </c>
      <c r="D6" s="27" t="n">
        <v>94000</v>
      </c>
      <c r="E6" s="27" t="n">
        <v>94000</v>
      </c>
    </row>
    <row r="7" customFormat="false" ht="19.5" hidden="false" customHeight="true" outlineLevel="0" collapsed="false">
      <c r="B7" s="78" t="s">
        <v>207</v>
      </c>
      <c r="C7" s="27" t="n">
        <v>38000</v>
      </c>
      <c r="D7" s="27" t="n">
        <v>32000</v>
      </c>
      <c r="E7" s="27" t="n">
        <v>28000</v>
      </c>
    </row>
    <row r="8" customFormat="false" ht="19.5" hidden="false" customHeight="true" outlineLevel="0" collapsed="false">
      <c r="B8" s="78" t="s">
        <v>208</v>
      </c>
      <c r="C8" s="27" t="n">
        <v>2000</v>
      </c>
      <c r="D8" s="27" t="n">
        <v>2000</v>
      </c>
      <c r="E8" s="27" t="n">
        <v>2000</v>
      </c>
    </row>
    <row r="9" customFormat="false" ht="19.5" hidden="false" customHeight="true" outlineLevel="0" collapsed="false">
      <c r="B9" s="78" t="s">
        <v>209</v>
      </c>
      <c r="C9" s="27" t="n">
        <v>3000</v>
      </c>
      <c r="D9" s="27" t="n">
        <v>2000</v>
      </c>
      <c r="E9" s="27" t="n">
        <v>1500</v>
      </c>
    </row>
    <row r="10" customFormat="false" ht="21.75" hidden="false" customHeight="true" outlineLevel="0" collapsed="false">
      <c r="B10" s="79" t="s">
        <v>210</v>
      </c>
      <c r="C10" s="80" t="n">
        <f aca="false">SUM(C6:C9)</f>
        <v>137000</v>
      </c>
      <c r="D10" s="80" t="n">
        <f aca="false">SUM(D6:D9)</f>
        <v>130000</v>
      </c>
      <c r="E10" s="80" t="n">
        <f aca="false">SUM(E6:E9)</f>
        <v>125500</v>
      </c>
    </row>
    <row r="11" customFormat="false" ht="6" hidden="false" customHeight="true" outlineLevel="0" collapsed="false"/>
    <row r="12" customFormat="false" ht="21.75" hidden="false" customHeight="true" outlineLevel="0" collapsed="false">
      <c r="B12" s="5" t="s">
        <v>211</v>
      </c>
      <c r="C12" s="5"/>
      <c r="D12" s="5"/>
      <c r="E12" s="5"/>
      <c r="F12" s="5"/>
      <c r="G12" s="5"/>
    </row>
    <row r="13" customFormat="false" ht="19.5" hidden="false" customHeight="true" outlineLevel="0" collapsed="false">
      <c r="B13" s="78" t="s">
        <v>212</v>
      </c>
      <c r="C13" s="27" t="n">
        <v>580</v>
      </c>
      <c r="D13" s="27" t="n">
        <v>640</v>
      </c>
      <c r="E13" s="27" t="n">
        <v>700</v>
      </c>
      <c r="G13" s="27"/>
    </row>
    <row r="14" customFormat="false" ht="19.5" hidden="false" customHeight="true" outlineLevel="0" collapsed="false">
      <c r="B14" s="78" t="s">
        <v>213</v>
      </c>
      <c r="C14" s="81" t="n">
        <v>0.9</v>
      </c>
      <c r="D14" s="81" t="n">
        <v>0.95</v>
      </c>
      <c r="E14" s="81" t="n">
        <v>0.98</v>
      </c>
      <c r="G14" s="81"/>
    </row>
    <row r="15" customFormat="false" ht="19.5" hidden="false" customHeight="true" outlineLevel="0" collapsed="false">
      <c r="B15" s="78" t="s">
        <v>214</v>
      </c>
      <c r="C15" s="27" t="n">
        <v>80</v>
      </c>
      <c r="D15" s="27" t="n">
        <v>80</v>
      </c>
      <c r="E15" s="27" t="n">
        <v>80</v>
      </c>
      <c r="G15" s="27"/>
    </row>
    <row r="16" customFormat="false" ht="19.5" hidden="false" customHeight="true" outlineLevel="0" collapsed="false">
      <c r="B16" s="78" t="s">
        <v>215</v>
      </c>
      <c r="C16" s="42" t="n">
        <f aca="false">IFERROR(C13*C14*12*0.1,0)</f>
        <v>626.4</v>
      </c>
      <c r="D16" s="42" t="n">
        <f aca="false">IFERROR(D13*D14*12*0.1,0)</f>
        <v>729.6</v>
      </c>
      <c r="E16" s="42" t="n">
        <f aca="false">IFERROR(E13*E14*12*0.1,0)</f>
        <v>823.2</v>
      </c>
      <c r="G16" s="27"/>
    </row>
    <row r="17" customFormat="false" ht="19.5" hidden="false" customHeight="true" outlineLevel="0" collapsed="false">
      <c r="B17" s="78" t="s">
        <v>216</v>
      </c>
      <c r="C17" s="27" t="n">
        <v>300</v>
      </c>
      <c r="D17" s="27" t="n">
        <v>250</v>
      </c>
      <c r="E17" s="27" t="n">
        <v>200</v>
      </c>
      <c r="G17" s="27"/>
    </row>
    <row r="18" customFormat="false" ht="21.75" hidden="false" customHeight="true" outlineLevel="0" collapsed="false">
      <c r="B18" s="82" t="s">
        <v>217</v>
      </c>
      <c r="C18" s="83" t="n">
        <f aca="false">(C13*C14*12)-C15-C16-(C17/12*12)</f>
        <v>5257.6</v>
      </c>
      <c r="D18" s="83" t="n">
        <f aca="false">(D13*D14*12)-D15-D16-(D17/12*12)</f>
        <v>6236.4</v>
      </c>
      <c r="E18" s="83" t="n">
        <f aca="false">(E13*E14*12)-E15-E16-(E17/12*12)</f>
        <v>7128.8</v>
      </c>
      <c r="G18" s="83" t="n">
        <f aca="false">IFERROR(G13*G14*12-G15-G16-G17,0)</f>
        <v>0</v>
      </c>
    </row>
    <row r="19" customFormat="false" ht="6" hidden="false" customHeight="true" outlineLevel="0" collapsed="false"/>
    <row r="20" customFormat="false" ht="21.75" hidden="false" customHeight="true" outlineLevel="0" collapsed="false">
      <c r="B20" s="39" t="s">
        <v>218</v>
      </c>
      <c r="C20" s="39"/>
      <c r="D20" s="39"/>
      <c r="E20" s="39"/>
      <c r="F20" s="39"/>
      <c r="G20" s="39"/>
    </row>
    <row r="21" customFormat="false" ht="21.75" hidden="false" customHeight="true" outlineLevel="0" collapsed="false">
      <c r="B21" s="84" t="s">
        <v>219</v>
      </c>
      <c r="C21" s="85" t="n">
        <f aca="false">IFERROR(C13*12/C10,0)</f>
        <v>0.0508029197080292</v>
      </c>
      <c r="D21" s="85" t="n">
        <f aca="false">IFERROR(D13*12/D10,0)</f>
        <v>0.0590769230769231</v>
      </c>
      <c r="E21" s="85" t="n">
        <f aca="false">IFERROR(E13*12/E10,0)</f>
        <v>0.0669322709163347</v>
      </c>
      <c r="G21" s="86" t="n">
        <f aca="false">IFERROR(G18/G10,0)</f>
        <v>0</v>
      </c>
    </row>
    <row r="22" customFormat="false" ht="21.75" hidden="false" customHeight="true" outlineLevel="0" collapsed="false">
      <c r="B22" s="84" t="s">
        <v>220</v>
      </c>
      <c r="C22" s="85" t="n">
        <f aca="false">IFERROR(C18/C10,0)</f>
        <v>0.0383766423357664</v>
      </c>
      <c r="D22" s="85" t="n">
        <f aca="false">IFERROR(D18/D10,0)</f>
        <v>0.0479723076923077</v>
      </c>
      <c r="E22" s="85" t="n">
        <f aca="false">IFERROR(E18/E10,0)</f>
        <v>0.056803187250996</v>
      </c>
      <c r="G22" s="86" t="n">
        <f aca="false">IFERROR(G18/G10,0)</f>
        <v>0</v>
      </c>
    </row>
    <row r="23" customFormat="false" ht="21.75" hidden="false" customHeight="true" outlineLevel="0" collapsed="false">
      <c r="B23" s="84" t="s">
        <v>221</v>
      </c>
      <c r="C23" s="85" t="n">
        <f aca="false">IFERROR(C18/C10,0)</f>
        <v>0.0383766423357664</v>
      </c>
      <c r="D23" s="85" t="n">
        <f aca="false">IFERROR(D18/D10,0)</f>
        <v>0.0479723076923077</v>
      </c>
      <c r="E23" s="85" t="n">
        <f aca="false">IFERROR(E18/E10,0)</f>
        <v>0.056803187250996</v>
      </c>
      <c r="G23" s="86" t="n">
        <f aca="false">IFERROR(G18/G10,0)</f>
        <v>0</v>
      </c>
    </row>
    <row r="24" customFormat="false" ht="21.75" hidden="false" customHeight="true" outlineLevel="0" collapsed="false">
      <c r="B24" s="84" t="s">
        <v>222</v>
      </c>
      <c r="C24" s="87" t="n">
        <f aca="false">IFERROR(C10/C18,0)</f>
        <v>26.057516737675</v>
      </c>
      <c r="D24" s="87" t="n">
        <f aca="false">IFERROR(D10/D18,0)</f>
        <v>20.845359502277</v>
      </c>
      <c r="E24" s="87" t="n">
        <f aca="false">IFERROR(E10/E18,0)</f>
        <v>17.6046459432162</v>
      </c>
      <c r="G24" s="88" t="n">
        <f aca="false">IFERROR(G10/G18,0)</f>
        <v>0</v>
      </c>
    </row>
    <row r="25" customFormat="false" ht="6" hidden="false" customHeight="true" outlineLevel="0" collapsed="false"/>
    <row r="26" customFormat="false" ht="21.75" hidden="false" customHeight="true" outlineLevel="0" collapsed="false">
      <c r="B26" s="3" t="s">
        <v>223</v>
      </c>
      <c r="C26" s="3"/>
      <c r="D26" s="3"/>
      <c r="E26" s="3"/>
      <c r="F26" s="3"/>
      <c r="G26" s="3"/>
    </row>
    <row r="27" customFormat="false" ht="19.5" hidden="false" customHeight="true" outlineLevel="0" collapsed="false">
      <c r="B27" s="78" t="s">
        <v>224</v>
      </c>
      <c r="C27" s="27" t="n">
        <v>115000</v>
      </c>
      <c r="D27" s="27" t="n">
        <v>125000</v>
      </c>
      <c r="E27" s="27" t="n">
        <v>132000</v>
      </c>
      <c r="G27" s="27"/>
    </row>
    <row r="28" customFormat="false" ht="19.5" hidden="false" customHeight="true" outlineLevel="0" collapsed="false">
      <c r="B28" s="78" t="s">
        <v>225</v>
      </c>
      <c r="C28" s="42" t="n">
        <f aca="false">IFERROR(C27*0.03,0)</f>
        <v>3450</v>
      </c>
      <c r="D28" s="42" t="n">
        <f aca="false">IFERROR(D27*0.03,0)</f>
        <v>3750</v>
      </c>
      <c r="E28" s="42" t="n">
        <f aca="false">IFERROR(E27*0.03,0)</f>
        <v>3960</v>
      </c>
      <c r="G28" s="27"/>
    </row>
    <row r="29" customFormat="false" ht="19.5" hidden="false" customHeight="true" outlineLevel="0" collapsed="false">
      <c r="B29" s="78" t="s">
        <v>226</v>
      </c>
      <c r="C29" s="42" t="n">
        <f aca="false">IFERROR(MAX(C27-C10,0)*0.1,0)</f>
        <v>0</v>
      </c>
      <c r="D29" s="42" t="n">
        <f aca="false">IFERROR(MAX(D27-D10,0)*0.1,0)</f>
        <v>0</v>
      </c>
      <c r="E29" s="42" t="n">
        <f aca="false">IFERROR(MAX(E27-E10,0)*0.1,0)</f>
        <v>650</v>
      </c>
      <c r="G29" s="27"/>
    </row>
    <row r="30" customFormat="false" ht="21.75" hidden="false" customHeight="true" outlineLevel="0" collapsed="false">
      <c r="B30" s="89" t="s">
        <v>227</v>
      </c>
      <c r="C30" s="90" t="n">
        <f aca="false">C27-C28-C29-C10</f>
        <v>-25450</v>
      </c>
      <c r="D30" s="90" t="n">
        <f aca="false">D27-D28-D29-D10</f>
        <v>-8750</v>
      </c>
      <c r="E30" s="90" t="n">
        <f aca="false">E27-E28-E29-E10</f>
        <v>1890</v>
      </c>
    </row>
    <row r="31" customFormat="false" ht="21.75" hidden="false" customHeight="true" outlineLevel="0" collapsed="false">
      <c r="B31" s="89" t="s">
        <v>228</v>
      </c>
      <c r="C31" s="91" t="n">
        <f aca="false">IFERROR(C30/C10,0)</f>
        <v>-0.185766423357664</v>
      </c>
      <c r="D31" s="91" t="n">
        <f aca="false">IFERROR(D30/D10,0)</f>
        <v>-0.0673076923076923</v>
      </c>
      <c r="E31" s="91" t="n">
        <f aca="false">IFERROR(E30/E10,0)</f>
        <v>0.0150597609561753</v>
      </c>
    </row>
  </sheetData>
  <mergeCells count="6">
    <mergeCell ref="A1:G1"/>
    <mergeCell ref="A2:G2"/>
    <mergeCell ref="B5:G5"/>
    <mergeCell ref="B12:G12"/>
    <mergeCell ref="B20:G20"/>
    <mergeCell ref="B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0"/>
  </cols>
  <sheetData>
    <row r="1" customFormat="false" ht="39.75" hidden="false" customHeight="true" outlineLevel="0" collapsed="false">
      <c r="A1" s="92" t="s">
        <v>229</v>
      </c>
      <c r="B1" s="92"/>
    </row>
    <row r="2" customFormat="false" ht="19.5" hidden="false" customHeight="true" outlineLevel="0" collapsed="false">
      <c r="A2" s="2" t="s">
        <v>230</v>
      </c>
      <c r="B2" s="2"/>
    </row>
    <row r="3" customFormat="false" ht="6" hidden="false" customHeight="true" outlineLevel="0" collapsed="false"/>
    <row r="4" customFormat="false" ht="21.75" hidden="false" customHeight="true" outlineLevel="0" collapsed="false">
      <c r="A4" s="93" t="s">
        <v>231</v>
      </c>
      <c r="B4" s="93"/>
    </row>
    <row r="5" customFormat="false" ht="18" hidden="false" customHeight="true" outlineLevel="0" collapsed="false">
      <c r="A5" s="94" t="s">
        <v>232</v>
      </c>
      <c r="B5" s="94"/>
    </row>
    <row r="6" customFormat="false" ht="99.75" hidden="false" customHeight="true" outlineLevel="0" collapsed="false">
      <c r="A6" s="95" t="s">
        <v>233</v>
      </c>
      <c r="B6" s="95"/>
    </row>
    <row r="7" customFormat="false" ht="6" hidden="false" customHeight="true" outlineLevel="0" collapsed="false"/>
    <row r="8" customFormat="false" ht="21.75" hidden="false" customHeight="true" outlineLevel="0" collapsed="false">
      <c r="A8" s="96" t="s">
        <v>234</v>
      </c>
      <c r="B8" s="96"/>
    </row>
    <row r="9" customFormat="false" ht="18" hidden="false" customHeight="true" outlineLevel="0" collapsed="false">
      <c r="A9" s="94" t="s">
        <v>235</v>
      </c>
      <c r="B9" s="94"/>
    </row>
    <row r="10" customFormat="false" ht="99.75" hidden="false" customHeight="true" outlineLevel="0" collapsed="false">
      <c r="A10" s="95" t="s">
        <v>233</v>
      </c>
      <c r="B10" s="95"/>
    </row>
    <row r="11" customFormat="false" ht="6" hidden="false" customHeight="true" outlineLevel="0" collapsed="false"/>
    <row r="12" customFormat="false" ht="21.75" hidden="false" customHeight="true" outlineLevel="0" collapsed="false">
      <c r="A12" s="97" t="s">
        <v>236</v>
      </c>
      <c r="B12" s="97"/>
    </row>
    <row r="13" customFormat="false" ht="18" hidden="false" customHeight="true" outlineLevel="0" collapsed="false">
      <c r="A13" s="94" t="s">
        <v>237</v>
      </c>
      <c r="B13" s="94"/>
    </row>
    <row r="14" customFormat="false" ht="99.75" hidden="false" customHeight="true" outlineLevel="0" collapsed="false">
      <c r="A14" s="95" t="s">
        <v>233</v>
      </c>
      <c r="B14" s="95"/>
    </row>
    <row r="15" customFormat="false" ht="6" hidden="false" customHeight="true" outlineLevel="0" collapsed="false"/>
    <row r="16" customFormat="false" ht="21.75" hidden="false" customHeight="true" outlineLevel="0" collapsed="false">
      <c r="A16" s="98" t="s">
        <v>238</v>
      </c>
      <c r="B16" s="98"/>
    </row>
    <row r="17" customFormat="false" ht="18" hidden="false" customHeight="true" outlineLevel="0" collapsed="false">
      <c r="A17" s="94" t="s">
        <v>239</v>
      </c>
      <c r="B17" s="94"/>
    </row>
    <row r="18" customFormat="false" ht="99.75" hidden="false" customHeight="true" outlineLevel="0" collapsed="false">
      <c r="A18" s="95" t="s">
        <v>233</v>
      </c>
      <c r="B18" s="95"/>
    </row>
    <row r="19" customFormat="false" ht="6" hidden="false" customHeight="true" outlineLevel="0" collapsed="false"/>
    <row r="20" customFormat="false" ht="21.75" hidden="false" customHeight="true" outlineLevel="0" collapsed="false">
      <c r="A20" s="99" t="s">
        <v>240</v>
      </c>
      <c r="B20" s="99"/>
    </row>
    <row r="21" customFormat="false" ht="18" hidden="false" customHeight="true" outlineLevel="0" collapsed="false">
      <c r="A21" s="94" t="s">
        <v>241</v>
      </c>
      <c r="B21" s="94"/>
    </row>
    <row r="22" customFormat="false" ht="99.75" hidden="false" customHeight="true" outlineLevel="0" collapsed="false">
      <c r="A22" s="95" t="s">
        <v>233</v>
      </c>
      <c r="B22" s="95"/>
    </row>
    <row r="23" customFormat="false" ht="6" hidden="false" customHeight="true" outlineLevel="0" collapsed="false"/>
    <row r="24" customFormat="false" ht="21.75" hidden="false" customHeight="true" outlineLevel="0" collapsed="false">
      <c r="A24" s="100" t="s">
        <v>242</v>
      </c>
      <c r="B24" s="100"/>
    </row>
    <row r="25" customFormat="false" ht="18" hidden="false" customHeight="true" outlineLevel="0" collapsed="false">
      <c r="A25" s="94" t="s">
        <v>243</v>
      </c>
      <c r="B25" s="94"/>
    </row>
    <row r="26" customFormat="false" ht="99.75" hidden="false" customHeight="true" outlineLevel="0" collapsed="false">
      <c r="A26" s="95" t="s">
        <v>233</v>
      </c>
      <c r="B26" s="95"/>
    </row>
    <row r="27" customFormat="false" ht="6" hidden="false" customHeight="true" outlineLevel="0" collapsed="false"/>
    <row r="28" customFormat="false" ht="21.75" hidden="false" customHeight="true" outlineLevel="0" collapsed="false">
      <c r="A28" s="101" t="s">
        <v>244</v>
      </c>
      <c r="B28" s="101"/>
    </row>
    <row r="29" customFormat="false" ht="18" hidden="false" customHeight="true" outlineLevel="0" collapsed="false">
      <c r="A29" s="94" t="s">
        <v>245</v>
      </c>
      <c r="B29" s="94"/>
    </row>
    <row r="30" customFormat="false" ht="99.75" hidden="false" customHeight="true" outlineLevel="0" collapsed="false">
      <c r="A30" s="95" t="s">
        <v>233</v>
      </c>
      <c r="B30" s="95"/>
    </row>
    <row r="31" customFormat="false" ht="7.5" hidden="false" customHeight="true" outlineLevel="0" collapsed="false"/>
    <row r="32" customFormat="false" ht="21.75" hidden="false" customHeight="true" outlineLevel="0" collapsed="false">
      <c r="A32" s="102" t="s">
        <v>246</v>
      </c>
      <c r="B32" s="102"/>
    </row>
    <row r="33" customFormat="false" ht="21.75" hidden="false" customHeight="true" outlineLevel="0" collapsed="false">
      <c r="A33" s="78" t="s">
        <v>247</v>
      </c>
      <c r="B33" s="27"/>
    </row>
    <row r="34" customFormat="false" ht="21.75" hidden="false" customHeight="true" outlineLevel="0" collapsed="false">
      <c r="A34" s="78" t="s">
        <v>248</v>
      </c>
      <c r="B34" s="27"/>
    </row>
    <row r="35" customFormat="false" ht="21.75" hidden="false" customHeight="true" outlineLevel="0" collapsed="false">
      <c r="A35" s="78" t="s">
        <v>249</v>
      </c>
      <c r="B35" s="27"/>
    </row>
    <row r="36" customFormat="false" ht="21.75" hidden="false" customHeight="true" outlineLevel="0" collapsed="false">
      <c r="A36" s="78" t="s">
        <v>250</v>
      </c>
      <c r="B36" s="27"/>
    </row>
    <row r="37" customFormat="false" ht="21.75" hidden="false" customHeight="true" outlineLevel="0" collapsed="false">
      <c r="A37" s="78" t="s">
        <v>251</v>
      </c>
      <c r="B37" s="27"/>
    </row>
    <row r="38" customFormat="false" ht="24" hidden="false" customHeight="true" outlineLevel="0" collapsed="false">
      <c r="A38" s="103" t="s">
        <v>252</v>
      </c>
      <c r="B38" s="72" t="n">
        <f aca="false">SUM(B33:B37)</f>
        <v>0</v>
      </c>
    </row>
  </sheetData>
  <mergeCells count="24">
    <mergeCell ref="A1:B1"/>
    <mergeCell ref="A2:B2"/>
    <mergeCell ref="A4:B4"/>
    <mergeCell ref="A5:B5"/>
    <mergeCell ref="A6:B6"/>
    <mergeCell ref="A8:B8"/>
    <mergeCell ref="A9:B9"/>
    <mergeCell ref="A10:B10"/>
    <mergeCell ref="A12:B12"/>
    <mergeCell ref="A13:B13"/>
    <mergeCell ref="A14:B14"/>
    <mergeCell ref="A16:B16"/>
    <mergeCell ref="A17:B17"/>
    <mergeCell ref="A18:B18"/>
    <mergeCell ref="A20:B20"/>
    <mergeCell ref="A21:B21"/>
    <mergeCell ref="A22:B22"/>
    <mergeCell ref="A24:B24"/>
    <mergeCell ref="A25:B25"/>
    <mergeCell ref="A26:B26"/>
    <mergeCell ref="A28:B28"/>
    <mergeCell ref="A29:B29"/>
    <mergeCell ref="A30:B30"/>
    <mergeCell ref="A32:B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2026-04-17T04:20:30Z</dcterms:created>
  <dc:creator>openpyxl</dc:creator>
  <dc:description/>
  <dc:language>en-US</dc:language>
  <cp:lastModifiedBy/>
  <dcterms:modified xsi:type="dcterms:W3CDTF">2026-04-17T04:20:30Z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