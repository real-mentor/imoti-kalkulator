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<sst xmlns="http://schemas.openxmlformats.org/spreadsheetml/2006/main" count="57" uniqueCount="57">
  <si>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DEAL CALCULATOR – Калкулатор за имотни сделки</t>
  </si>
  <si>
    <t xml:space="preserve">Виж реалната доходност за 2 минути (не тази, която ти казва брокерът)</t>
  </si>
  <si>
    <t xml:space="preserve">📊 ОСНОВНИ ДАННИ ЗА ИМОТА</t>
  </si>
  <si>
    <t xml:space="preserve">🔢 АВТОМАТИЧНИ ИЗЧИСЛЕНИЯ</t>
  </si>
  <si>
    <t xml:space="preserve">Покупна цена (€)</t>
  </si>
  <si>
    <t xml:space="preserve">Самоучастие (€)</t>
  </si>
  <si>
    <t xml:space="preserve">Самоучастие (%)</t>
  </si>
  <si>
    <t xml:space="preserve">Сума на кредита (€)</t>
  </si>
  <si>
    <t xml:space="preserve">Лихвен процент (годишен)</t>
  </si>
  <si>
    <t xml:space="preserve">Месечна вноска по кредит (€)</t>
  </si>
  <si>
    <t xml:space="preserve">Срок на кредита (години)</t>
  </si>
  <si>
    <t xml:space="preserve">Очакван месечен наем (€)</t>
  </si>
  <si>
    <t xml:space="preserve">РАЗХОДИ ПРИ ПОКУПКА</t>
  </si>
  <si>
    <t xml:space="preserve">Данък придобиване (€)</t>
  </si>
  <si>
    <t xml:space="preserve">💰 РАЗХОДИ ПРИ ПОКУПКА</t>
  </si>
  <si>
    <t xml:space="preserve">Нотариални такси (€)</t>
  </si>
  <si>
    <t xml:space="preserve">Данък придобиване (%)</t>
  </si>
  <si>
    <t xml:space="preserve">Брокерска комисия (€)</t>
  </si>
  <si>
    <t xml:space="preserve">Нотариални такси (%)</t>
  </si>
  <si>
    <t xml:space="preserve">Общо разходи при покупка (€)</t>
  </si>
  <si>
    <t xml:space="preserve">Брокерска комисия (%)</t>
  </si>
  <si>
    <t xml:space="preserve">Такси за кредит (€)</t>
  </si>
  <si>
    <t xml:space="preserve">МЕСЕЧНИ РАЗХОДИ</t>
  </si>
  <si>
    <t xml:space="preserve">Ремонт / обзавеждане (€)</t>
  </si>
  <si>
    <t xml:space="preserve">Резерв за ремонти (€)</t>
  </si>
  <si>
    <t xml:space="preserve">Други разходи (€)</t>
  </si>
  <si>
    <t xml:space="preserve">Vacancy резерв (€)</t>
  </si>
  <si>
    <t xml:space="preserve">Property management (€)</t>
  </si>
  <si>
    <t xml:space="preserve">📅 МЕСЕЧНИ РАЗХОДИ</t>
  </si>
  <si>
    <t xml:space="preserve">Общо месечни разходи (без ипотека)</t>
  </si>
  <si>
    <t xml:space="preserve">Такса поддръжка / ЕС (€)</t>
  </si>
  <si>
    <t xml:space="preserve">Застраховка (€/месец)</t>
  </si>
  <si>
    <t xml:space="preserve">Данък имот (€/месец)</t>
  </si>
  <si>
    <t xml:space="preserve">🎯 КЛЮЧОВИ РЕЗУЛТАТИ</t>
  </si>
  <si>
    <t xml:space="preserve">Резерв за ремонти (% от наем)</t>
  </si>
  <si>
    <t xml:space="preserve">Обща инвестиция (€)</t>
  </si>
  <si>
    <t xml:space="preserve">Vacancy резерв (% от наем)</t>
  </si>
  <si>
    <t xml:space="preserve">Месечен наем (€)</t>
  </si>
  <si>
    <t xml:space="preserve">Property management (% от наем)</t>
  </si>
  <si>
    <t xml:space="preserve">Общо месечни разходи (€)</t>
  </si>
  <si>
    <t xml:space="preserve">⚠️ ВАЖНИ НАПОМНЯНИЯ</t>
  </si>
  <si>
    <t xml:space="preserve">МЕСЕЧЕН CASH FLOW</t>
  </si>
  <si>
    <t xml:space="preserve">• Жълтите полета са за въвеждане</t>
  </si>
  <si>
    <t xml:space="preserve">• Vacancy резерв = очакван период без наемател</t>
  </si>
  <si>
    <t xml:space="preserve">• Винаги добавяй 5-10% резерв за ремонти</t>
  </si>
  <si>
    <t xml:space="preserve">ГОДИШЕН CASH FLOW</t>
  </si>
  <si>
    <t xml:space="preserve">• Реалната доходност е ВИНАГИ по-ниска</t>
  </si>
  <si>
    <t xml:space="preserve">  от тази, която казва брокерът!</t>
  </si>
  <si>
    <t xml:space="preserve">📈 КЛЮЧОВИ МЕТРИКИ</t>
  </si>
  <si>
    <t xml:space="preserve">Cash-on-Cash Return</t>
  </si>
  <si>
    <t xml:space="preserve">(Годишен CF / Твоя инвестиция)</t>
  </si>
  <si>
    <t xml:space="preserve">Gross Yield (Брутна доходност)</t>
  </si>
  <si>
    <t xml:space="preserve">(Годишен наем / Цена на имота)</t>
  </si>
  <si>
    <t xml:space="preserve">Net Yield (Нетна доходност)</t>
  </si>
  <si>
    <t xml:space="preserve">(Нетен доход / Цена на имота)</t>
  </si>
  <si>
    <t xml:space="preserve">ОЦЕНКА НА СДЕЛКАТА</t>
  </si>
  <si>
    <t xml:space="preserve">Този калкулатор е част от обучението "От 0 до първият имот" | МАЙНАТА МУ, ЩЕ ГО НАПРАВЯ!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</si>
</sst>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%"/>
    <numFmt numFmtId="168" formatCode="#,##0&quot; €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365D"/>
      <name val="Georgia"/>
      <family val="0"/>
      <charset val="1"/>
    </font>
    <font>
      <i val="true"/>
      <sz val="11"/>
      <color rgb="FF71809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2D374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A365D"/>
      <name val="Arial"/>
      <family val="0"/>
      <charset val="1"/>
    </font>
    <font>
      <b val="true"/>
      <sz val="11"/>
      <color rgb="FF1A365D"/>
      <name val="Arial"/>
      <family val="0"/>
      <charset val="1"/>
    </font>
    <font>
      <b val="true"/>
      <sz val="11"/>
      <color rgb="FFDD6B20"/>
      <name val="Arial"/>
      <family val="0"/>
      <charset val="1"/>
    </font>
    <font>
      <b val="true"/>
      <sz val="14"/>
      <color rgb="FF1A365D"/>
      <name val="Arial"/>
      <family val="0"/>
      <charset val="1"/>
    </font>
    <font>
      <sz val="10"/>
      <color rgb="FF2D3748"/>
      <name val="Arial"/>
      <family val="0"/>
      <charset val="1"/>
    </font>
    <font>
      <b val="true"/>
      <sz val="24"/>
      <color rgb="FF38A169"/>
      <name val="Arial"/>
      <family val="0"/>
      <charset val="1"/>
    </font>
    <font>
      <b val="true"/>
      <sz val="18"/>
      <color rgb="FF38A169"/>
      <name val="Arial"/>
      <family val="0"/>
      <charset val="1"/>
    </font>
    <font>
      <b val="true"/>
      <sz val="16"/>
      <color rgb="FF38A169"/>
      <name val="Arial"/>
      <family val="0"/>
      <charset val="1"/>
    </font>
    <font>
      <i val="true"/>
      <sz val="9"/>
      <color rgb="FF718096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7180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8A169"/>
        <bgColor rgb="FF008080"/>
      </patternFill>
    </fill>
    <fill>
      <patternFill patternType="solid">
        <fgColor rgb="FFFFFBEB"/>
        <bgColor rgb="FFF7FAFC"/>
      </patternFill>
    </fill>
    <fill>
      <patternFill patternType="solid">
        <fgColor rgb="FFF7FAFC"/>
        <bgColor rgb="FFFFFFFF"/>
      </patternFill>
    </fill>
    <fill>
      <patternFill patternType="solid">
        <fgColor rgb="FFF0FFF4"/>
        <bgColor rgb="FFF7FAFC"/>
      </patternFill>
    </fill>
    <fill>
      <patternFill patternType="solid">
        <fgColor rgb="FFFEF2F2"/>
        <bgColor rgb="FFFFFB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FFBEB"/>
      <rgbColor rgb="FFF0FF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7FAFC"/>
      <rgbColor rgb="FFFE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D6B20"/>
      <rgbColor rgb="FF666699"/>
      <rgbColor rgb="FF969696"/>
      <rgbColor rgb="FF1A365D"/>
      <rgbColor rgb="FF38A169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5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3"/>
  </cols>
  <sheetData>
    <row r="1" customFormat="false" ht="21.75" hidden="false" customHeight="true" outlineLevel="0" collapsed="false"/>
    <row r="2" customFormat="false" ht="21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</row>
    <row r="4" customFormat="false" ht="21.75" hidden="false" customHeight="true" outlineLevel="0" collapsed="false"/>
    <row r="5" customFormat="false" ht="21.75" hidden="false" customHeight="true" outlineLevel="0" collapsed="false">
      <c r="B5" s="3" t="s">
        <v>2</v>
      </c>
      <c r="C5" s="3"/>
      <c r="E5" s="3" t="s">
        <v>3</v>
      </c>
      <c r="F5" s="3"/>
    </row>
    <row r="6" customFormat="false" ht="21.75" hidden="false" customHeight="true" outlineLevel="0" collapsed="false">
      <c r="B6" s="4" t="s">
        <v>4</v>
      </c>
      <c r="C6" s="5" t="n">
        <v>100000</v>
      </c>
      <c r="E6" s="6" t="s">
        <v>5</v>
      </c>
      <c r="F6" s="7" t="n">
        <f aca="false">C6*C7</f>
        <v>30000</v>
      </c>
    </row>
    <row r="7" customFormat="false" ht="21.75" hidden="false" customHeight="true" outlineLevel="0" collapsed="false">
      <c r="B7" s="4" t="s">
        <v>6</v>
      </c>
      <c r="C7" s="8" t="n">
        <v>0.3</v>
      </c>
      <c r="E7" s="6" t="s">
        <v>7</v>
      </c>
      <c r="F7" s="7" t="n">
        <f aca="false">C6*(1-C7)</f>
        <v>70000</v>
      </c>
    </row>
    <row r="8" customFormat="false" ht="21.75" hidden="false" customHeight="true" outlineLevel="0" collapsed="false">
      <c r="B8" s="4" t="s">
        <v>8</v>
      </c>
      <c r="C8" s="9" t="n">
        <v>0.045</v>
      </c>
      <c r="E8" s="6" t="s">
        <v>9</v>
      </c>
      <c r="F8" s="7" t="n">
        <f aca="false">IF(F7=0,0,PMT(C8/12,C9*12,-F7))</f>
        <v>389.082734573392</v>
      </c>
    </row>
    <row r="9" customFormat="false" ht="21.75" hidden="false" customHeight="true" outlineLevel="0" collapsed="false">
      <c r="B9" s="4" t="s">
        <v>10</v>
      </c>
      <c r="C9" s="10" t="n">
        <v>25</v>
      </c>
    </row>
    <row r="10" customFormat="false" ht="21.75" hidden="false" customHeight="true" outlineLevel="0" collapsed="false">
      <c r="B10" s="4" t="s">
        <v>11</v>
      </c>
      <c r="C10" s="5" t="n">
        <v>700</v>
      </c>
      <c r="E10" s="11" t="s">
        <v>12</v>
      </c>
    </row>
    <row r="11" customFormat="false" ht="21.75" hidden="false" customHeight="true" outlineLevel="0" collapsed="false">
      <c r="E11" s="6" t="s">
        <v>13</v>
      </c>
      <c r="F11" s="7" t="n">
        <f aca="false">C6*C13</f>
        <v>3000</v>
      </c>
    </row>
    <row r="12" customFormat="false" ht="21.75" hidden="false" customHeight="true" outlineLevel="0" collapsed="false">
      <c r="B12" s="3" t="s">
        <v>14</v>
      </c>
      <c r="C12" s="3"/>
      <c r="E12" s="6" t="s">
        <v>15</v>
      </c>
      <c r="F12" s="7" t="n">
        <f aca="false">C6*C14</f>
        <v>500</v>
      </c>
    </row>
    <row r="13" customFormat="false" ht="21.75" hidden="false" customHeight="true" outlineLevel="0" collapsed="false">
      <c r="B13" s="4" t="s">
        <v>16</v>
      </c>
      <c r="C13" s="9" t="n">
        <v>0.03</v>
      </c>
      <c r="E13" s="6" t="s">
        <v>17</v>
      </c>
      <c r="F13" s="7" t="n">
        <f aca="false">C6*C15</f>
        <v>2500</v>
      </c>
    </row>
    <row r="14" customFormat="false" ht="21.75" hidden="false" customHeight="true" outlineLevel="0" collapsed="false">
      <c r="B14" s="4" t="s">
        <v>18</v>
      </c>
      <c r="C14" s="9" t="n">
        <v>0.005</v>
      </c>
      <c r="E14" s="12" t="s">
        <v>19</v>
      </c>
      <c r="F14" s="13" t="n">
        <f aca="false">F11+F12+F13+C16+C17+C18</f>
        <v>12000</v>
      </c>
    </row>
    <row r="15" customFormat="false" ht="21.75" hidden="false" customHeight="true" outlineLevel="0" collapsed="false">
      <c r="B15" s="4" t="s">
        <v>20</v>
      </c>
      <c r="C15" s="9" t="n">
        <v>0.025</v>
      </c>
    </row>
    <row r="16" customFormat="false" ht="21.75" hidden="false" customHeight="true" outlineLevel="0" collapsed="false">
      <c r="B16" s="4" t="s">
        <v>21</v>
      </c>
      <c r="C16" s="5" t="n">
        <v>500</v>
      </c>
      <c r="E16" s="11" t="s">
        <v>22</v>
      </c>
    </row>
    <row r="17" customFormat="false" ht="21.75" hidden="false" customHeight="true" outlineLevel="0" collapsed="false">
      <c r="B17" s="4" t="s">
        <v>23</v>
      </c>
      <c r="C17" s="5" t="n">
        <v>5000</v>
      </c>
      <c r="E17" s="6" t="s">
        <v>24</v>
      </c>
      <c r="F17" s="7" t="n">
        <f aca="false">C10*C24</f>
        <v>35</v>
      </c>
    </row>
    <row r="18" customFormat="false" ht="21.75" hidden="false" customHeight="true" outlineLevel="0" collapsed="false">
      <c r="B18" s="4" t="s">
        <v>25</v>
      </c>
      <c r="C18" s="5" t="n">
        <v>500</v>
      </c>
      <c r="E18" s="6" t="s">
        <v>26</v>
      </c>
      <c r="F18" s="7" t="n">
        <f aca="false">C10*C25</f>
        <v>35</v>
      </c>
    </row>
    <row r="19" customFormat="false" ht="21.75" hidden="false" customHeight="true" outlineLevel="0" collapsed="false">
      <c r="E19" s="6" t="s">
        <v>27</v>
      </c>
      <c r="F19" s="7" t="n">
        <f aca="false">C10*C26</f>
        <v>0</v>
      </c>
    </row>
    <row r="20" customFormat="false" ht="21.75" hidden="false" customHeight="true" outlineLevel="0" collapsed="false">
      <c r="B20" s="3" t="s">
        <v>28</v>
      </c>
      <c r="C20" s="3"/>
      <c r="E20" s="12" t="s">
        <v>29</v>
      </c>
      <c r="F20" s="13" t="n">
        <f aca="false">C21+C22+C23+F17+F18+F19</f>
        <v>160</v>
      </c>
    </row>
    <row r="21" customFormat="false" ht="21.75" hidden="false" customHeight="true" outlineLevel="0" collapsed="false">
      <c r="B21" s="4" t="s">
        <v>30</v>
      </c>
      <c r="C21" s="5" t="n">
        <v>50</v>
      </c>
    </row>
    <row r="22" customFormat="false" ht="21.75" hidden="false" customHeight="true" outlineLevel="0" collapsed="false">
      <c r="B22" s="4" t="s">
        <v>31</v>
      </c>
      <c r="C22" s="5" t="n">
        <v>25</v>
      </c>
    </row>
    <row r="23" customFormat="false" ht="21.75" hidden="false" customHeight="true" outlineLevel="0" collapsed="false">
      <c r="B23" s="4" t="s">
        <v>32</v>
      </c>
      <c r="C23" s="5" t="n">
        <v>15</v>
      </c>
      <c r="E23" s="3" t="s">
        <v>33</v>
      </c>
      <c r="F23" s="3"/>
    </row>
    <row r="24" customFormat="false" ht="21.75" hidden="false" customHeight="true" outlineLevel="0" collapsed="false">
      <c r="B24" s="4" t="s">
        <v>34</v>
      </c>
      <c r="C24" s="8" t="n">
        <v>0.05</v>
      </c>
      <c r="E24" s="14" t="s">
        <v>35</v>
      </c>
      <c r="F24" s="15" t="n">
        <f aca="false">F6+F14</f>
        <v>42000</v>
      </c>
    </row>
    <row r="25" customFormat="false" ht="21.75" hidden="false" customHeight="true" outlineLevel="0" collapsed="false">
      <c r="B25" s="4" t="s">
        <v>36</v>
      </c>
      <c r="C25" s="8" t="n">
        <v>0.05</v>
      </c>
      <c r="E25" s="14" t="s">
        <v>37</v>
      </c>
      <c r="F25" s="16" t="n">
        <f aca="false">C10</f>
        <v>700</v>
      </c>
    </row>
    <row r="26" customFormat="false" ht="21.75" hidden="false" customHeight="true" outlineLevel="0" collapsed="false">
      <c r="B26" s="4" t="s">
        <v>38</v>
      </c>
      <c r="C26" s="8" t="n">
        <v>0</v>
      </c>
      <c r="E26" s="14" t="s">
        <v>39</v>
      </c>
      <c r="F26" s="16" t="n">
        <f aca="false">F8+F20</f>
        <v>549.082734573392</v>
      </c>
    </row>
    <row r="27" customFormat="false" ht="21.75" hidden="false" customHeight="true" outlineLevel="0" collapsed="false"/>
    <row r="28" customFormat="false" ht="21.75" hidden="false" customHeight="true" outlineLevel="0" collapsed="false">
      <c r="B28" s="17" t="s">
        <v>40</v>
      </c>
      <c r="C28" s="17"/>
      <c r="E28" s="18" t="s">
        <v>41</v>
      </c>
      <c r="F28" s="18"/>
    </row>
    <row r="29" customFormat="false" ht="21.75" hidden="false" customHeight="true" outlineLevel="0" collapsed="false">
      <c r="B29" s="19" t="s">
        <v>42</v>
      </c>
      <c r="C29" s="19"/>
      <c r="E29" s="20" t="n">
        <f aca="false">F25-F26</f>
        <v>150.917265426608</v>
      </c>
      <c r="F29" s="20"/>
    </row>
    <row r="30" customFormat="false" ht="21.75" hidden="false" customHeight="true" outlineLevel="0" collapsed="false">
      <c r="B30" s="19" t="s">
        <v>43</v>
      </c>
      <c r="C30" s="19"/>
    </row>
    <row r="31" customFormat="false" ht="21.75" hidden="false" customHeight="true" outlineLevel="0" collapsed="false">
      <c r="B31" s="19" t="s">
        <v>44</v>
      </c>
      <c r="C31" s="19"/>
      <c r="E31" s="21" t="s">
        <v>45</v>
      </c>
      <c r="F31" s="21"/>
    </row>
    <row r="32" customFormat="false" ht="21.75" hidden="false" customHeight="true" outlineLevel="0" collapsed="false">
      <c r="B32" s="19" t="s">
        <v>46</v>
      </c>
      <c r="C32" s="19"/>
      <c r="E32" s="22" t="n">
        <f aca="false">E29*12</f>
        <v>1811.00718511929</v>
      </c>
      <c r="F32" s="22"/>
    </row>
    <row r="33" customFormat="false" ht="21.75" hidden="false" customHeight="true" outlineLevel="0" collapsed="false">
      <c r="B33" s="19" t="s">
        <v>47</v>
      </c>
      <c r="C33" s="19"/>
    </row>
    <row r="34" customFormat="false" ht="21.75" hidden="false" customHeight="true" outlineLevel="0" collapsed="false">
      <c r="E34" s="3" t="s">
        <v>48</v>
      </c>
      <c r="F34" s="3"/>
    </row>
    <row r="35" customFormat="false" ht="21.75" hidden="false" customHeight="true" outlineLevel="0" collapsed="false">
      <c r="E35" s="23" t="s">
        <v>49</v>
      </c>
      <c r="F35" s="24" t="n">
        <f aca="false">IF(F24=0,0,E32/F24)</f>
        <v>0.0431192186933165</v>
      </c>
    </row>
    <row r="36" customFormat="false" ht="21.75" hidden="false" customHeight="true" outlineLevel="0" collapsed="false">
      <c r="E36" s="25" t="s">
        <v>50</v>
      </c>
    </row>
    <row r="37" customFormat="false" ht="21.75" hidden="false" customHeight="true" outlineLevel="0" collapsed="false"/>
    <row r="38" customFormat="false" ht="21.75" hidden="false" customHeight="true" outlineLevel="0" collapsed="false">
      <c r="E38" s="23" t="s">
        <v>51</v>
      </c>
      <c r="F38" s="24" t="n">
        <f aca="false">IF(C6=0,0,(C10*12)/C6)</f>
        <v>0.084</v>
      </c>
    </row>
    <row r="39" customFormat="false" ht="21.75" hidden="false" customHeight="true" outlineLevel="0" collapsed="false">
      <c r="E39" s="25" t="s">
        <v>52</v>
      </c>
    </row>
    <row r="40" customFormat="false" ht="21.75" hidden="false" customHeight="true" outlineLevel="0" collapsed="false"/>
    <row r="41" customFormat="false" ht="21.75" hidden="false" customHeight="true" outlineLevel="0" collapsed="false">
      <c r="E41" s="23" t="s">
        <v>53</v>
      </c>
      <c r="F41" s="24" t="n">
        <f aca="false">IF(C6=0,0,((C10-F20)*12)/C6)</f>
        <v>0.0648</v>
      </c>
    </row>
    <row r="42" customFormat="false" ht="21.75" hidden="false" customHeight="true" outlineLevel="0" collapsed="false">
      <c r="E42" s="25" t="s">
        <v>54</v>
      </c>
    </row>
    <row r="43" customFormat="false" ht="21.75" hidden="false" customHeight="true" outlineLevel="0" collapsed="false"/>
    <row r="44" customFormat="false" ht="21.75" hidden="false" customHeight="true" outlineLevel="0" collapsed="false">
      <c r="E44" s="3" t="s">
        <v>55</v>
      </c>
      <c r="F44" s="3"/>
    </row>
    <row r="45" customFormat="false" ht="21.75" hidden="false" customHeight="true" outlineLevel="0" collapsed="false">
      <c r="E45" s="26" t="str">
        <f aca="false">IF(E29&lt;0,"❌ ВНИМАНИЕ: Отрицателен Cash Flow!",IF(F35&lt;0.05,"⚠️ Ниска възвръщаемост (&lt;5%)",IF(F35&lt;0.08,"✅ Добра сделка (5-8%)","🎯 Отлична сделка (8%+)")))</f>
        <v>⚠️ Ниска възвръщаемост (&lt;5%)</v>
      </c>
      <c r="F45" s="26"/>
    </row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>
      <c r="B48" s="27" t="s">
        <v>56</v>
      </c>
      <c r="C48" s="27"/>
      <c r="D48" s="27"/>
      <c r="E48" s="27"/>
      <c r="F48" s="27"/>
    </row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</sheetData>
  <mergeCells count="21">
    <mergeCell ref="B2:F2"/>
    <mergeCell ref="B3:F3"/>
    <mergeCell ref="B5:C5"/>
    <mergeCell ref="E5:F5"/>
    <mergeCell ref="B12:C12"/>
    <mergeCell ref="B20:C20"/>
    <mergeCell ref="E23:F23"/>
    <mergeCell ref="B28:C28"/>
    <mergeCell ref="E28:F28"/>
    <mergeCell ref="B29:C29"/>
    <mergeCell ref="E29:F29"/>
    <mergeCell ref="B30:C30"/>
    <mergeCell ref="B31:C31"/>
    <mergeCell ref="E31:F31"/>
    <mergeCell ref="B32:C32"/>
    <mergeCell ref="E32:F32"/>
    <mergeCell ref="B33:C33"/>
    <mergeCell ref="E34:F34"/>
    <mergeCell ref="E44:F44"/>
    <mergeCell ref="E45:F45"/>
    <mergeCell ref="B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2026-02-08T13:20:11Z</dcterms:created>
  <dc:creator>openpyxl</dc:creator>
  <dc:description/>
  <dc:language>en-US</dc:language>
  <cp:lastModifiedBy/>
  <dcterms:modified xsi:type="dcterms:W3CDTF">2026-02-08T13:20:11Z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