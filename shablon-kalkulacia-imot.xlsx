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кулат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4"/>
    </font>
    <font>
      <sz val="11"/>
    </font>
    <font>
      <b val="1"/>
      <sz val="11"/>
    </font>
    <font>
      <i val="1"/>
      <color rgb="004472C4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0" fontId="4" fillId="7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3" customWidth="1" min="4" max="4"/>
    <col width="25" customWidth="1" min="5" max="5"/>
    <col width="18" customWidth="1" min="6" max="6"/>
    <col width="3" customWidth="1" min="7" max="7"/>
    <col width="25" customWidth="1" min="8" max="8"/>
    <col width="18" customWidth="1" min="9" max="9"/>
  </cols>
  <sheetData>
    <row r="1" ht="30" customHeight="1">
      <c r="A1" s="1" t="inlineStr">
        <is>
          <t>Шаблон за калкулация</t>
        </is>
      </c>
    </row>
    <row r="3" ht="25" customHeight="1">
      <c r="B3" s="2" t="inlineStr">
        <is>
          <t>📋 Входни данни</t>
        </is>
      </c>
      <c r="E3" s="3" t="inlineStr">
        <is>
          <t>💰 Годишни разходи</t>
        </is>
      </c>
      <c r="H3" s="4" t="inlineStr">
        <is>
          <t>📊 Резултати</t>
        </is>
      </c>
    </row>
    <row r="4">
      <c r="B4" s="5" t="inlineStr">
        <is>
          <t>Цена на имота:</t>
        </is>
      </c>
      <c r="C4" s="6" t="n">
        <v>80000</v>
      </c>
      <c r="E4" s="7" t="inlineStr">
        <is>
          <t>Vacancy 5%:</t>
        </is>
      </c>
      <c r="F4" s="8">
        <f>C5*12*0.05</f>
        <v/>
      </c>
      <c r="H4" s="9" t="inlineStr">
        <is>
          <t>Годишен наем:</t>
        </is>
      </c>
      <c r="I4" s="10">
        <f>C5*12</f>
        <v/>
      </c>
    </row>
    <row r="5">
      <c r="B5" s="5" t="inlineStr">
        <is>
          <t>Месечен наем:</t>
        </is>
      </c>
      <c r="C5" s="6" t="n">
        <v>500</v>
      </c>
      <c r="E5" s="7" t="inlineStr">
        <is>
          <t>Данък сграда:</t>
        </is>
      </c>
      <c r="F5" s="8" t="n">
        <v>50</v>
      </c>
      <c r="H5" s="9" t="inlineStr">
        <is>
          <t>Общо разходи:</t>
        </is>
      </c>
      <c r="I5" s="10">
        <f>SUM(F4:F9)</f>
        <v/>
      </c>
    </row>
    <row r="6">
      <c r="B6" s="5" t="inlineStr">
        <is>
          <t>Самоучастие %:</t>
        </is>
      </c>
      <c r="C6" s="11" t="n">
        <v>0.2</v>
      </c>
      <c r="E6" s="7" t="inlineStr">
        <is>
          <t>Застраховка:</t>
        </is>
      </c>
      <c r="F6" s="8" t="n">
        <v>100</v>
      </c>
      <c r="H6" s="9" t="inlineStr">
        <is>
          <t>NOI:</t>
        </is>
      </c>
      <c r="I6" s="10">
        <f>I4-I5</f>
        <v/>
      </c>
    </row>
    <row r="7">
      <c r="B7" s="5" t="inlineStr">
        <is>
          <t>Лихва %:</t>
        </is>
      </c>
      <c r="C7" s="11" t="n">
        <v>0.055</v>
      </c>
      <c r="E7" s="7" t="inlineStr">
        <is>
          <t>Поддръжка 3%:</t>
        </is>
      </c>
      <c r="F7" s="8">
        <f>C4*0.03</f>
        <v/>
      </c>
      <c r="H7" s="9" t="inlineStr">
        <is>
          <t>Cap Rate:</t>
        </is>
      </c>
      <c r="I7" s="12">
        <f>I6/C4</f>
        <v/>
      </c>
    </row>
    <row r="8">
      <c r="B8" s="5" t="inlineStr">
        <is>
          <t>Срок (години):</t>
        </is>
      </c>
      <c r="C8" s="13" t="n">
        <v>25</v>
      </c>
      <c r="E8" s="7" t="inlineStr">
        <is>
          <t>Такси:</t>
        </is>
      </c>
      <c r="F8" s="8" t="n">
        <v>300</v>
      </c>
      <c r="H8" s="9" t="inlineStr">
        <is>
          <t>Вноска кредит/год:</t>
        </is>
      </c>
      <c r="I8" s="10">
        <f>-PMT(C7/12,C8*12,C4*(1-C6))*12</f>
        <v/>
      </c>
    </row>
    <row r="9">
      <c r="E9" s="7" t="inlineStr">
        <is>
          <t>CapEx 1%:</t>
        </is>
      </c>
      <c r="F9" s="8">
        <f>C4*0.01</f>
        <v/>
      </c>
      <c r="H9" s="9" t="inlineStr">
        <is>
          <t>Cash Flow:</t>
        </is>
      </c>
      <c r="I9" s="10">
        <f>I6-I8</f>
        <v/>
      </c>
    </row>
    <row r="10">
      <c r="H10" s="9" t="inlineStr">
        <is>
          <t>Cash-on-Cash:</t>
        </is>
      </c>
      <c r="I10" s="12">
        <f>I9/(C4*C6)</f>
        <v/>
      </c>
    </row>
    <row r="13">
      <c r="B13" s="14" t="inlineStr">
        <is>
          <t>💡 Изтегли Excel калкулатора от материалите към урока за автоматични изчисления</t>
        </is>
      </c>
    </row>
  </sheetData>
  <mergeCells count="5">
    <mergeCell ref="B13:I13"/>
    <mergeCell ref="B3:C3"/>
    <mergeCell ref="A1:I1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2026-03-09T19:04:02Z</dcterms:created>
  <dcterms:modified xmlns:dcterms="http://purl.org/dc/terms/" xmlns:xsi="http://www.w3.org/2001/XMLSchema-instance" xsi:type="dcterms:W3CDTF">2026-03-09T19:04:02Z</dcterms:modified>
</cp:coreProperties>
</file>