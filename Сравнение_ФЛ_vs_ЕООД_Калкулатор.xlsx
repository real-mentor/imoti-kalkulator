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Входни данни" sheetId="1" state="visible" r:id="rId3"/>
    <sheet name="👤 Физическо лице" sheetId="2" state="visible" r:id="rId4"/>
    <sheet name="🏢 ЕООД" sheetId="3" state="visible" r:id="rId5"/>
    <sheet name="⚖️ Сравнение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<sst xmlns="http://schemas.openxmlformats.org/spreadsheetml/2006/main" count="221" uniqueCount="178">
  <si>
    <t xml:space="preserve">📋  ВХОДНИ ДАННИ — Имоти и параметри за сравнение</t>
  </si>
  <si>
    <t xml:space="preserve">Жълти клетки = вашите данни  •  Сините = автоматично  •  1 EUR = 1.95583 лв. (БНБ)</t>
  </si>
  <si>
    <t xml:space="preserve">А.  ГЛОБАЛНИ ПАРАМЕТРИ  —  Важи за двата варианта</t>
  </si>
  <si>
    <t xml:space="preserve">Брой имоти в портфолиото</t>
  </si>
  <si>
    <t xml:space="preserve">1–5 (можете да добавите до 5 имота)</t>
  </si>
  <si>
    <t xml:space="preserve">Период на анализ (години)</t>
  </si>
  <si>
    <t xml:space="preserve">Колко години напред да изчисляваме</t>
  </si>
  <si>
    <t xml:space="preserve">Годишен ръст на наема (%)</t>
  </si>
  <si>
    <t xml:space="preserve">Очакван годишен ръст на наема</t>
  </si>
  <si>
    <t xml:space="preserve">Годишен ръст на разходите (%)</t>
  </si>
  <si>
    <t xml:space="preserve">Инфлация на разходите</t>
  </si>
  <si>
    <t xml:space="preserve">Дисконтов процент (%)</t>
  </si>
  <si>
    <t xml:space="preserve">За NPV изчисление (цена на капитала)</t>
  </si>
  <si>
    <t xml:space="preserve">Б.  ДАННИ ЗА ИМОТИТЕ  —  Попълнете за всеки активен имот</t>
  </si>
  <si>
    <t xml:space="preserve">Параметър</t>
  </si>
  <si>
    <t xml:space="preserve">Имот 1</t>
  </si>
  <si>
    <t xml:space="preserve">Имот 2</t>
  </si>
  <si>
    <t xml:space="preserve">Имот 3</t>
  </si>
  <si>
    <t xml:space="preserve">Имот 4</t>
  </si>
  <si>
    <t xml:space="preserve">Имот 5</t>
  </si>
  <si>
    <t xml:space="preserve">── ПОКУПКА ──</t>
  </si>
  <si>
    <t xml:space="preserve">Активен? (Да/Не)</t>
  </si>
  <si>
    <t xml:space="preserve">Да</t>
  </si>
  <si>
    <t xml:space="preserve">Не</t>
  </si>
  <si>
    <t xml:space="preserve">Покупна цена (EUR)</t>
  </si>
  <si>
    <t xml:space="preserve">ДДС при покупка (0% или 20%)</t>
  </si>
  <si>
    <t xml:space="preserve">Нотариус + данъци (% от цената)</t>
  </si>
  <si>
    <t xml:space="preserve">Брокерска комисионна (%)</t>
  </si>
  <si>
    <t xml:space="preserve">Ремонт при покупка (EUR)</t>
  </si>
  <si>
    <t xml:space="preserve">Обзавеждане при покупка (EUR)</t>
  </si>
  <si>
    <t xml:space="preserve">ОБЩА ИНВЕСТИЦИЯ (авт.)</t>
  </si>
  <si>
    <t xml:space="preserve">── ПРИХОДИ ──</t>
  </si>
  <si>
    <t xml:space="preserve">Месечен наем (EUR)</t>
  </si>
  <si>
    <t xml:space="preserve">Вакантност (% от наема)</t>
  </si>
  <si>
    <t xml:space="preserve">Годишен ефективен наем (авт.)</t>
  </si>
  <si>
    <t xml:space="preserve">── ГОДИШНИ РАЗХОДИ ──</t>
  </si>
  <si>
    <t xml:space="preserve">ЕСС и поддръжка сграда (EUR/год.)</t>
  </si>
  <si>
    <t xml:space="preserve">Застраховка имот (EUR/год.)</t>
  </si>
  <si>
    <t xml:space="preserve">Ремонти и поддръжка (EUR/год.)</t>
  </si>
  <si>
    <t xml:space="preserve">Данък имот и такси (EUR/год.)</t>
  </si>
  <si>
    <t xml:space="preserve">Управление/агенция (% от наема)</t>
  </si>
  <si>
    <t xml:space="preserve">Общо годишни разходи (авт.)</t>
  </si>
  <si>
    <t xml:space="preserve">── ПРОДАЖБА ──</t>
  </si>
  <si>
    <t xml:space="preserve">Планирана продажна цена (EUR)</t>
  </si>
  <si>
    <t xml:space="preserve">Брокерска комисионна при продажба (%)</t>
  </si>
  <si>
    <t xml:space="preserve">Планирана година на продажба</t>
  </si>
  <si>
    <t xml:space="preserve">В.  СПЕЦИФИЧНИ ПАРАМЕТРИ — ЕООД</t>
  </si>
  <si>
    <t xml:space="preserve">Месечно счетоводство (EUR)</t>
  </si>
  <si>
    <t xml:space="preserve">Обикновено 61–153 EUR/мес.</t>
  </si>
  <si>
    <t xml:space="preserve">Осигуровки управител (EUR/мес.)</t>
  </si>
  <si>
    <t xml:space="preserve">При мин. осиг. доход ~477 EUR × 31.3%</t>
  </si>
  <si>
    <t xml:space="preserve">Годишни такси ТР и банка (EUR)</t>
  </si>
  <si>
    <t xml:space="preserve">Търговски регистър + банкови такси</t>
  </si>
  <si>
    <t xml:space="preserve">Ставка КД (%)</t>
  </si>
  <si>
    <t xml:space="preserve">Корпоративен данък — ЗКПО</t>
  </si>
  <si>
    <t xml:space="preserve">Ставка данък дивиденти (%)</t>
  </si>
  <si>
    <t xml:space="preserve">ЗДДФЛ чл.38</t>
  </si>
  <si>
    <t xml:space="preserve">Амортизационна норма имот (%/год.)</t>
  </si>
  <si>
    <t xml:space="preserve">ЗКПО чл.55 — 2% от покупната цена</t>
  </si>
  <si>
    <t xml:space="preserve">Амортизация обзавеждане (%/год.)</t>
  </si>
  <si>
    <t xml:space="preserve">ЗКПО — 15%/год.</t>
  </si>
  <si>
    <t xml:space="preserve">Г.  СПЕЦИФИЧНИ ПАРАМЕТРИ — ФИЗИЧЕСКО ЛИЦЕ</t>
  </si>
  <si>
    <t xml:space="preserve">Ставка ДДФЛ (%)</t>
  </si>
  <si>
    <t xml:space="preserve">Данък доходи физ. лице</t>
  </si>
  <si>
    <t xml:space="preserve">Нормативни разходи (%)</t>
  </si>
  <si>
    <t xml:space="preserve">ЗДДФЛ — 10% автоматично</t>
  </si>
  <si>
    <t xml:space="preserve">Ефективна ставка (%)</t>
  </si>
  <si>
    <t xml:space="preserve">10% × 90% = 9% — автоматично</t>
  </si>
  <si>
    <t xml:space="preserve">Данък продажба след 3 г. (%)</t>
  </si>
  <si>
    <t xml:space="preserve">При ФЛ след 3 год. = 0%</t>
  </si>
  <si>
    <t xml:space="preserve">Данък продажба преди 3 г. (%)</t>
  </si>
  <si>
    <t xml:space="preserve">10% върху печалбата</t>
  </si>
  <si>
    <t xml:space="preserve">🟡 Жълти клетки = въвеждате вие  |  🔵 Светлосини = изчислено автоматично  |  🟢 Зелени = ефективен доход  |  🔴 Червени = разходи  |  🟠 Оранжеви = обща инвестиция</t>
  </si>
  <si>
    <t xml:space="preserve">👤  ФИЗИЧЕСКО ЛИЦЕ — Данъчни изчисления</t>
  </si>
  <si>
    <t xml:space="preserve">ДДФЛ 9% ефективна ставка  •  Нормативни 10% разходи  •  Нулев данък след 3 год.</t>
  </si>
  <si>
    <t xml:space="preserve">📥 Обща инвестиция</t>
  </si>
  <si>
    <t xml:space="preserve">📈 Годишен нетен доход</t>
  </si>
  <si>
    <t xml:space="preserve">💰 Данъчна тежест/год.</t>
  </si>
  <si>
    <t xml:space="preserve">📊 Net Yield</t>
  </si>
  <si>
    <t xml:space="preserve">А.  РЕЗУЛТАТИ ПО ИМОТ  —  Годишен паричен поток</t>
  </si>
  <si>
    <t xml:space="preserve">Суми</t>
  </si>
  <si>
    <t xml:space="preserve">Годишен ефективен наем</t>
  </si>
  <si>
    <t xml:space="preserve">– ДДФЛ (9% ефективна)</t>
  </si>
  <si>
    <t xml:space="preserve">– Годишни разходи</t>
  </si>
  <si>
    <t xml:space="preserve">нетен паричен поток/год.</t>
  </si>
  <si>
    <t xml:space="preserve">Обща инвестиция (вкл. ДДС)</t>
  </si>
  <si>
    <t xml:space="preserve">Net Yield (%)</t>
  </si>
  <si>
    <t xml:space="preserve">Gross Yield (%)</t>
  </si>
  <si>
    <t xml:space="preserve">Б.  ДАНЪК ПРИ ПРОДАЖБА  —  Физическо лице</t>
  </si>
  <si>
    <t xml:space="preserve">Продажна цена (EUR)</t>
  </si>
  <si>
    <t xml:space="preserve">Покупна цена + разходи</t>
  </si>
  <si>
    <t xml:space="preserve">Данък при продажба след 3 г.</t>
  </si>
  <si>
    <t xml:space="preserve">Данък при продажба преди 3 г.</t>
  </si>
  <si>
    <t xml:space="preserve">Продажба в год. &gt;3? (Да/Не)</t>
  </si>
  <si>
    <t xml:space="preserve">Данък при продажба (EUR)</t>
  </si>
  <si>
    <t xml:space="preserve">Нетна печалба от продажба</t>
  </si>
  <si>
    <t xml:space="preserve">🏢  ЕООД — Данъчни изчисления</t>
  </si>
  <si>
    <t xml:space="preserve">КД 10% + Дивиденти 5%  •  Амортизация 2%  •  Всички реални разходи признати</t>
  </si>
  <si>
    <t xml:space="preserve">А.  АДМИНИСТРАТИВНИ РАЗХОДИ НА ЕООД  —  Годишни фиксирани разходи</t>
  </si>
  <si>
    <t xml:space="preserve">Стойност</t>
  </si>
  <si>
    <t xml:space="preserve">Бележка</t>
  </si>
  <si>
    <t xml:space="preserve">Счетоводство (EUR/год.)</t>
  </si>
  <si>
    <t xml:space="preserve">Месечно × 12</t>
  </si>
  <si>
    <t xml:space="preserve">Осигуровки управител (EUR/год.)</t>
  </si>
  <si>
    <t xml:space="preserve">Такси ТР и банка (EUR/год.)</t>
  </si>
  <si>
    <t xml:space="preserve">Годишно</t>
  </si>
  <si>
    <t xml:space="preserve">ОБЩО АДМИНИСТРАТИВНИ (EUR/год.)</t>
  </si>
  <si>
    <t xml:space="preserve">Фиксиран overhead на ЕООД</t>
  </si>
  <si>
    <t xml:space="preserve">Б.  РЕЗУЛТАТИ ПО ИМОТ  —  Годишен паричен поток при ЕООД</t>
  </si>
  <si>
    <t xml:space="preserve">– Амортизация имот (2%)</t>
  </si>
  <si>
    <t xml:space="preserve">– Амортизация обзавеждане</t>
  </si>
  <si>
    <t xml:space="preserve">данъчна печалба</t>
  </si>
  <si>
    <t xml:space="preserve">– Корпоративен данък (10%)</t>
  </si>
  <si>
    <t xml:space="preserve">нетна печалба</t>
  </si>
  <si>
    <t xml:space="preserve">– Данък дивиденти (5%)</t>
  </si>
  <si>
    <t xml:space="preserve">в джоба ви (след дивид.)</t>
  </si>
  <si>
    <t xml:space="preserve">– Адм. разходи ЕООД (1/N)</t>
  </si>
  <si>
    <t xml:space="preserve">Обща инвестиция</t>
  </si>
  <si>
    <t xml:space="preserve">В.  ДАНЪК ПРИ ПРОДАЖБА  —  ЕООД (КД 10% върху печалбата)</t>
  </si>
  <si>
    <t xml:space="preserve">Натрупана амортизация</t>
  </si>
  <si>
    <t xml:space="preserve">Счетоводна стойност</t>
  </si>
  <si>
    <t xml:space="preserve">Данъчна печалба от продажба</t>
  </si>
  <si>
    <t xml:space="preserve">КД 10% при продажба</t>
  </si>
  <si>
    <t xml:space="preserve">Нетна печалба след КД</t>
  </si>
  <si>
    <t xml:space="preserve">Данък дивиденти 5%</t>
  </si>
  <si>
    <t xml:space="preserve">В ДЖОБА ВИ от продажба</t>
  </si>
  <si>
    <t xml:space="preserve">⚖️  СРАВНЕНИЕ — ФИЗИЧЕСКО ЛИЦЕ vs ЕООД</t>
  </si>
  <si>
    <t xml:space="preserve">Автоматична присъда кой вариант е по-изгоден при вашите конкретни данни</t>
  </si>
  <si>
    <t xml:space="preserve">А.  ОСНОВНИ ПОКАЗАТЕЛИ — Пряко сравнение</t>
  </si>
  <si>
    <t xml:space="preserve">Показател</t>
  </si>
  <si>
    <t xml:space="preserve">👤 Физическо лице</t>
  </si>
  <si>
    <t xml:space="preserve">🏢 ЕООД</t>
  </si>
  <si>
    <t xml:space="preserve">Разлика (ЕООД − ФЛ)</t>
  </si>
  <si>
    <t xml:space="preserve">По-добро</t>
  </si>
  <si>
    <t xml:space="preserve">Обща инвестиция (EUR)</t>
  </si>
  <si>
    <t xml:space="preserve">Годишен нетен паричен поток (EUR)</t>
  </si>
  <si>
    <t xml:space="preserve">Годишни данъци — ДДФЛ/КД+Дивиденти</t>
  </si>
  <si>
    <t xml:space="preserve">Административни разходи ЕООД (EUR/год.)</t>
  </si>
  <si>
    <t xml:space="preserve">Данъчна тежест (% от брутния наем)</t>
  </si>
  <si>
    <t xml:space="preserve">Б.  СРАВНЕНИЕ ПРИ ПРОДАЖБА</t>
  </si>
  <si>
    <t xml:space="preserve">Разлика</t>
  </si>
  <si>
    <t xml:space="preserve">Нетна печалба от продажба (EUR)</t>
  </si>
  <si>
    <t xml:space="preserve">Данъчна тежест при продажба (EUR)</t>
  </si>
  <si>
    <t xml:space="preserve">В.  КАЧЕСТВЕНО СРАВНЕНИЕ — Не само числа</t>
  </si>
  <si>
    <t xml:space="preserve">Фактор</t>
  </si>
  <si>
    <t xml:space="preserve">Административна тежест</t>
  </si>
  <si>
    <t xml:space="preserve">✅ Минимална — 1 декларация/год.</t>
  </si>
  <si>
    <t xml:space="preserve">❌ Месечно счетоводство задължително</t>
  </si>
  <si>
    <t xml:space="preserve">Признати разходи</t>
  </si>
  <si>
    <t xml:space="preserve">⚠️ Само 10% нормативни</t>
  </si>
  <si>
    <t xml:space="preserve">✅ 100% реални + амортизация</t>
  </si>
  <si>
    <t xml:space="preserve">Данък при продажба (3+ год.)</t>
  </si>
  <si>
    <t xml:space="preserve">✅ Нулев данък при ФЛ</t>
  </si>
  <si>
    <t xml:space="preserve">❌ КД 10% + дивид. 5% при ЕООД</t>
  </si>
  <si>
    <t xml:space="preserve">Осигуровки</t>
  </si>
  <si>
    <t xml:space="preserve">✅ Нула при наем</t>
  </si>
  <si>
    <t xml:space="preserve">❌ ~1 791 EUR/год. задължителни</t>
  </si>
  <si>
    <t xml:space="preserve">Лична отговорност</t>
  </si>
  <si>
    <t xml:space="preserve">❌ С цялото имущество</t>
  </si>
  <si>
    <t xml:space="preserve">✅ Само до капитала на фирмата</t>
  </si>
  <si>
    <t xml:space="preserve">Лихви по ипотека</t>
  </si>
  <si>
    <t xml:space="preserve">❌ Не се признават</t>
  </si>
  <si>
    <t xml:space="preserve">✅ Признат разход при ЕООД</t>
  </si>
  <si>
    <t xml:space="preserve">Амортизация на имот</t>
  </si>
  <si>
    <t xml:space="preserve">❌ Невъзможна</t>
  </si>
  <si>
    <t xml:space="preserve">✅ 2%/год. — признат разход</t>
  </si>
  <si>
    <t xml:space="preserve">Мащабиране 5+ имота</t>
  </si>
  <si>
    <t xml:space="preserve">⚠️ По-сложно при много имоти</t>
  </si>
  <si>
    <t xml:space="preserve">✅ Структурирано бизнес управление</t>
  </si>
  <si>
    <t xml:space="preserve">ДДС (жилищен наем)</t>
  </si>
  <si>
    <t xml:space="preserve">✅ Освободена доставка</t>
  </si>
  <si>
    <t xml:space="preserve">Представителност</t>
  </si>
  <si>
    <t xml:space="preserve">⚠️ Лично</t>
  </si>
  <si>
    <t xml:space="preserve">✅ Фирмен облик при банки/партньори</t>
  </si>
  <si>
    <t xml:space="preserve">Г.  АВТОМАТИЧНИ ИЗВОДИ И ПРЕПОРЪКИ</t>
  </si>
  <si>
    <t xml:space="preserve">Годишното предимство (EUR/год.):</t>
  </si>
  <si>
    <t xml:space="preserve">За колко години се покриват разходите за ЕООД:</t>
  </si>
  <si>
    <t xml:space="preserve">⚠️  ВАЖНО: Тази калкулация е ориентировъчна. Преди финансово решение консултирайте данъчен специалист.  |  Числата се базират на данните в лист 'Входни данни'.  |  При промяна на параметрите — всички изчисления се актуализират автоматично.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</si>
</sst>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&quot; EUR&quot;"/>
    <numFmt numFmtId="168" formatCode="0.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C9A84C"/>
      <name val="Arial"/>
      <family val="0"/>
      <charset val="1"/>
    </font>
    <font>
      <b val="true"/>
      <sz val="9"/>
      <color rgb="FFC9A84C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sz val="10"/>
      <color rgb="FF334155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sz val="10"/>
      <color rgb="FFDC2626"/>
      <name val="Arial"/>
      <family val="0"/>
      <charset val="1"/>
    </font>
    <font>
      <b val="true"/>
      <sz val="14"/>
      <color rgb="FFC9A84C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334155"/>
      <name val="Arial"/>
      <family val="0"/>
      <charset val="1"/>
    </font>
    <font>
      <b val="true"/>
      <sz val="13"/>
      <color rgb="FF16A34A"/>
      <name val="Arial"/>
      <family val="0"/>
      <charset val="1"/>
    </font>
    <font>
      <sz val="11"/>
      <color rgb="FF334155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D1B2A"/>
        <bgColor rgb="FF1E293B"/>
      </patternFill>
    </fill>
    <fill>
      <patternFill patternType="solid">
        <fgColor rgb="FF1E293B"/>
        <bgColor rgb="FF243447"/>
      </patternFill>
    </fill>
    <fill>
      <patternFill patternType="solid">
        <fgColor rgb="FFF8FAFC"/>
        <bgColor rgb="FFFFFFFF"/>
      </patternFill>
    </fill>
    <fill>
      <patternFill patternType="solid">
        <fgColor rgb="FFFFF9C4"/>
        <bgColor rgb="FFFEF3C7"/>
      </patternFill>
    </fill>
    <fill>
      <patternFill patternType="solid">
        <fgColor rgb="FF243447"/>
        <bgColor rgb="FF1E293B"/>
      </patternFill>
    </fill>
    <fill>
      <patternFill patternType="solid">
        <fgColor rgb="FFFEF3C7"/>
        <bgColor rgb="FFFFF9C4"/>
      </patternFill>
    </fill>
    <fill>
      <patternFill patternType="solid">
        <fgColor rgb="FFDCFCE7"/>
        <bgColor rgb="FFEFF6FF"/>
      </patternFill>
    </fill>
    <fill>
      <patternFill patternType="solid">
        <fgColor rgb="FFFFE4E6"/>
        <bgColor rgb="FFEDE9FE"/>
      </patternFill>
    </fill>
    <fill>
      <patternFill patternType="solid">
        <fgColor rgb="FF2563EB"/>
        <bgColor rgb="FF0066CC"/>
      </patternFill>
    </fill>
    <fill>
      <patternFill patternType="solid">
        <fgColor rgb="FFEFF6FF"/>
        <bgColor rgb="FFF8FAFC"/>
      </patternFill>
    </fill>
    <fill>
      <patternFill patternType="solid">
        <fgColor rgb="FFDBEAFE"/>
        <bgColor rgb="FFEDE9FE"/>
      </patternFill>
    </fill>
    <fill>
      <patternFill patternType="solid">
        <fgColor rgb="FFDC2626"/>
        <bgColor rgb="FF993300"/>
      </patternFill>
    </fill>
    <fill>
      <patternFill patternType="solid">
        <fgColor rgb="FF7C3AED"/>
        <bgColor rgb="FF993366"/>
      </patternFill>
    </fill>
    <fill>
      <patternFill patternType="solid">
        <fgColor rgb="FF16A34A"/>
        <bgColor rgb="FF008080"/>
      </patternFill>
    </fill>
    <fill>
      <patternFill patternType="solid">
        <fgColor rgb="FFEDE9FE"/>
        <bgColor rgb="FFDBEAF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DE9FE"/>
      <rgbColor rgb="FF808080"/>
      <rgbColor rgb="FF9999FF"/>
      <rgbColor rgb="FF7C3AED"/>
      <rgbColor rgb="FFFFF9C4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FF6FF"/>
      <rgbColor rgb="FFFEF3C7"/>
      <rgbColor rgb="FFF8FAFC"/>
      <rgbColor rgb="FFFF99CC"/>
      <rgbColor rgb="FFCC99FF"/>
      <rgbColor rgb="FFFFE4E6"/>
      <rgbColor rgb="FF2563EB"/>
      <rgbColor rgb="FF33CCCC"/>
      <rgbColor rgb="FF99CC00"/>
      <rgbColor rgb="FFFFCC00"/>
      <rgbColor rgb="FFFF9900"/>
      <rgbColor rgb="FFD97706"/>
      <rgbColor rgb="FF64748B"/>
      <rgbColor rgb="FFC9A84C"/>
      <rgbColor rgb="FF1E293B"/>
      <rgbColor rgb="FF16A34A"/>
      <rgbColor rgb="FF0D1B2A"/>
      <rgbColor rgb="FF475569"/>
      <rgbColor rgb="FF993300"/>
      <rgbColor rgb="FF993366"/>
      <rgbColor rgb="FF334155"/>
      <rgbColor rgb="FF2434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L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12" min="3" style="1" width="13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6" hidden="false" customHeight="true" outlineLevel="0" collapsed="false"/>
    <row r="4" customFormat="false" ht="19.5" hidden="false" customHeight="true" outlineLevel="0" collapsed="false">
      <c r="A4" s="4" t="s">
        <v>2</v>
      </c>
      <c r="B4" s="4"/>
      <c r="C4" s="4"/>
      <c r="D4" s="4"/>
      <c r="E4" s="4"/>
      <c r="F4" s="4"/>
      <c r="G4" s="4"/>
    </row>
    <row r="5" customFormat="false" ht="21.75" hidden="false" customHeight="true" outlineLevel="0" collapsed="false">
      <c r="B5" s="5" t="s">
        <v>3</v>
      </c>
      <c r="C5" s="6" t="n">
        <v>2</v>
      </c>
      <c r="E5" s="7" t="s">
        <v>4</v>
      </c>
      <c r="F5" s="7"/>
      <c r="G5" s="7"/>
    </row>
    <row r="6" customFormat="false" ht="21.75" hidden="false" customHeight="true" outlineLevel="0" collapsed="false">
      <c r="B6" s="5" t="s">
        <v>5</v>
      </c>
      <c r="C6" s="6" t="n">
        <v>10</v>
      </c>
      <c r="E6" s="7" t="s">
        <v>6</v>
      </c>
      <c r="F6" s="7"/>
      <c r="G6" s="7"/>
    </row>
    <row r="7" customFormat="false" ht="21.75" hidden="false" customHeight="true" outlineLevel="0" collapsed="false">
      <c r="B7" s="5" t="s">
        <v>7</v>
      </c>
      <c r="C7" s="8" t="n">
        <v>3</v>
      </c>
      <c r="E7" s="7" t="s">
        <v>8</v>
      </c>
      <c r="F7" s="7"/>
      <c r="G7" s="7"/>
    </row>
    <row r="8" customFormat="false" ht="21.75" hidden="false" customHeight="true" outlineLevel="0" collapsed="false">
      <c r="B8" s="5" t="s">
        <v>9</v>
      </c>
      <c r="C8" s="8" t="n">
        <v>2.5</v>
      </c>
      <c r="E8" s="7" t="s">
        <v>10</v>
      </c>
      <c r="F8" s="7"/>
      <c r="G8" s="7"/>
    </row>
    <row r="9" customFormat="false" ht="21.75" hidden="false" customHeight="true" outlineLevel="0" collapsed="false">
      <c r="B9" s="5" t="s">
        <v>11</v>
      </c>
      <c r="C9" s="8" t="n">
        <v>5</v>
      </c>
      <c r="E9" s="7" t="s">
        <v>12</v>
      </c>
      <c r="F9" s="7"/>
      <c r="G9" s="7"/>
    </row>
    <row r="10" customFormat="false" ht="7.5" hidden="false" customHeight="true" outlineLevel="0" collapsed="false"/>
    <row r="11" customFormat="false" ht="19.5" hidden="false" customHeight="true" outlineLevel="0" collapsed="false">
      <c r="A11" s="4" t="s">
        <v>13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21.75" hidden="false" customHeight="true" outlineLevel="0" collapsed="false">
      <c r="B12" s="9" t="s">
        <v>14</v>
      </c>
      <c r="C12" s="10" t="s">
        <v>15</v>
      </c>
      <c r="E12" s="10" t="s">
        <v>16</v>
      </c>
      <c r="G12" s="10" t="s">
        <v>17</v>
      </c>
      <c r="I12" s="10" t="s">
        <v>18</v>
      </c>
      <c r="K12" s="10" t="s">
        <v>19</v>
      </c>
    </row>
    <row r="13" customFormat="false" ht="15.75" hidden="false" customHeight="true" outlineLevel="0" collapsed="false">
      <c r="B13" s="11" t="s">
        <v>20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customFormat="false" ht="19.5" hidden="false" customHeight="true" outlineLevel="0" collapsed="false">
      <c r="B14" s="5" t="s">
        <v>21</v>
      </c>
      <c r="C14" s="12" t="s">
        <v>22</v>
      </c>
      <c r="E14" s="12" t="s">
        <v>22</v>
      </c>
      <c r="G14" s="12" t="s">
        <v>23</v>
      </c>
      <c r="I14" s="12" t="s">
        <v>23</v>
      </c>
      <c r="K14" s="12" t="s">
        <v>23</v>
      </c>
    </row>
    <row r="15" customFormat="false" ht="19.5" hidden="false" customHeight="true" outlineLevel="0" collapsed="false">
      <c r="B15" s="5" t="s">
        <v>24</v>
      </c>
      <c r="C15" s="13" t="n">
        <v>77000</v>
      </c>
      <c r="E15" s="13" t="n">
        <v>102000</v>
      </c>
      <c r="G15" s="13" t="n">
        <v>0</v>
      </c>
      <c r="I15" s="13" t="n">
        <v>0</v>
      </c>
      <c r="K15" s="13" t="n">
        <v>0</v>
      </c>
    </row>
    <row r="16" customFormat="false" ht="19.5" hidden="false" customHeight="true" outlineLevel="0" collapsed="false">
      <c r="B16" s="5" t="s">
        <v>25</v>
      </c>
      <c r="C16" s="8" t="n">
        <v>0</v>
      </c>
      <c r="E16" s="8" t="n">
        <v>0</v>
      </c>
      <c r="G16" s="8" t="n">
        <v>0</v>
      </c>
      <c r="I16" s="8" t="n">
        <v>0</v>
      </c>
      <c r="K16" s="8" t="n">
        <v>0</v>
      </c>
    </row>
    <row r="17" customFormat="false" ht="19.5" hidden="false" customHeight="true" outlineLevel="0" collapsed="false">
      <c r="B17" s="5" t="s">
        <v>26</v>
      </c>
      <c r="C17" s="8" t="n">
        <v>3</v>
      </c>
      <c r="E17" s="8" t="n">
        <v>3</v>
      </c>
      <c r="G17" s="8" t="n">
        <v>3</v>
      </c>
      <c r="I17" s="8" t="n">
        <v>3</v>
      </c>
      <c r="K17" s="8" t="n">
        <v>3</v>
      </c>
    </row>
    <row r="18" customFormat="false" ht="19.5" hidden="false" customHeight="true" outlineLevel="0" collapsed="false">
      <c r="B18" s="5" t="s">
        <v>27</v>
      </c>
      <c r="C18" s="8" t="n">
        <v>2</v>
      </c>
      <c r="E18" s="8" t="n">
        <v>2</v>
      </c>
      <c r="G18" s="8" t="n">
        <v>2</v>
      </c>
      <c r="I18" s="8" t="n">
        <v>2</v>
      </c>
      <c r="K18" s="8" t="n">
        <v>2</v>
      </c>
    </row>
    <row r="19" customFormat="false" ht="19.5" hidden="false" customHeight="true" outlineLevel="0" collapsed="false">
      <c r="B19" s="5" t="s">
        <v>28</v>
      </c>
      <c r="C19" s="13" t="n">
        <v>7500</v>
      </c>
      <c r="E19" s="13" t="n">
        <v>5000</v>
      </c>
      <c r="G19" s="13" t="n">
        <v>0</v>
      </c>
      <c r="I19" s="13" t="n">
        <v>0</v>
      </c>
      <c r="K19" s="13" t="n">
        <v>0</v>
      </c>
    </row>
    <row r="20" customFormat="false" ht="19.5" hidden="false" customHeight="true" outlineLevel="0" collapsed="false">
      <c r="B20" s="5" t="s">
        <v>29</v>
      </c>
      <c r="C20" s="13" t="n">
        <v>4000</v>
      </c>
      <c r="E20" s="13" t="n">
        <v>3000</v>
      </c>
      <c r="G20" s="13" t="n">
        <v>0</v>
      </c>
      <c r="I20" s="13" t="n">
        <v>0</v>
      </c>
      <c r="K20" s="13" t="n">
        <v>0</v>
      </c>
    </row>
    <row r="21" customFormat="false" ht="19.5" hidden="false" customHeight="true" outlineLevel="0" collapsed="false">
      <c r="B21" s="5" t="s">
        <v>30</v>
      </c>
      <c r="C21" s="14" t="n">
        <f aca="false">IFERROR(C14*(1+C15)+C14*C16+C14*C17+C18+C19,0)</f>
        <v>0</v>
      </c>
      <c r="E21" s="14" t="n">
        <f aca="false">IFERROR(E14*(1+E15)+E14*E16+E14*E17+E18+E19,0)</f>
        <v>0</v>
      </c>
      <c r="G21" s="14" t="n">
        <f aca="false">IFERROR(G14*(1+G15)+G14*G16+G14*G17+G18+G19,0)</f>
        <v>0</v>
      </c>
      <c r="I21" s="14" t="n">
        <f aca="false">IFERROR(I14*(1+I15)+I14*I16+I14*I17+I18+I19,0)</f>
        <v>0</v>
      </c>
      <c r="K21" s="14" t="n">
        <f aca="false">IFERROR(K14*(1+K15)+K14*K16+K14*K17+K18+K19,0)</f>
        <v>0</v>
      </c>
    </row>
    <row r="22" customFormat="false" ht="15.75" hidden="false" customHeight="true" outlineLevel="0" collapsed="false">
      <c r="B22" s="11" t="s">
        <v>31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customFormat="false" ht="19.5" hidden="false" customHeight="true" outlineLevel="0" collapsed="false">
      <c r="B23" s="5" t="s">
        <v>32</v>
      </c>
      <c r="C23" s="13" t="n">
        <v>510</v>
      </c>
      <c r="E23" s="13" t="n">
        <v>612</v>
      </c>
      <c r="G23" s="13" t="n">
        <v>0</v>
      </c>
      <c r="I23" s="13" t="n">
        <v>0</v>
      </c>
      <c r="K23" s="13" t="n">
        <v>0</v>
      </c>
    </row>
    <row r="24" customFormat="false" ht="19.5" hidden="false" customHeight="true" outlineLevel="0" collapsed="false">
      <c r="B24" s="5" t="s">
        <v>33</v>
      </c>
      <c r="C24" s="8" t="n">
        <v>8</v>
      </c>
      <c r="E24" s="8" t="n">
        <v>8</v>
      </c>
      <c r="G24" s="8" t="n">
        <v>8</v>
      </c>
      <c r="I24" s="8" t="n">
        <v>8</v>
      </c>
      <c r="K24" s="8" t="n">
        <v>8</v>
      </c>
    </row>
    <row r="25" customFormat="false" ht="19.5" hidden="false" customHeight="true" outlineLevel="0" collapsed="false">
      <c r="B25" s="5" t="s">
        <v>34</v>
      </c>
      <c r="C25" s="15" t="n">
        <f aca="false">IFERROR(C23*12*(1-C24),0)</f>
        <v>-42840</v>
      </c>
      <c r="E25" s="15" t="n">
        <f aca="false">IFERROR(E23*12*(1-E24),0)</f>
        <v>-51408</v>
      </c>
      <c r="G25" s="15" t="n">
        <f aca="false">IFERROR(G23*12*(1-G24),0)</f>
        <v>-0</v>
      </c>
      <c r="I25" s="15" t="n">
        <f aca="false">IFERROR(I23*12*(1-I24),0)</f>
        <v>-0</v>
      </c>
      <c r="K25" s="15" t="n">
        <f aca="false">IFERROR(K23*12*(1-K24),0)</f>
        <v>-0</v>
      </c>
    </row>
    <row r="26" customFormat="false" ht="15.75" hidden="false" customHeight="true" outlineLevel="0" collapsed="false">
      <c r="B26" s="11" t="s">
        <v>35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customFormat="false" ht="19.5" hidden="false" customHeight="true" outlineLevel="0" collapsed="false">
      <c r="B27" s="5" t="s">
        <v>36</v>
      </c>
      <c r="C27" s="13" t="n">
        <v>612</v>
      </c>
      <c r="E27" s="13" t="n">
        <v>736</v>
      </c>
      <c r="G27" s="13" t="n">
        <v>0</v>
      </c>
      <c r="I27" s="13" t="n">
        <v>0</v>
      </c>
      <c r="K27" s="13" t="n">
        <v>0</v>
      </c>
    </row>
    <row r="28" customFormat="false" ht="19.5" hidden="false" customHeight="true" outlineLevel="0" collapsed="false">
      <c r="B28" s="5" t="s">
        <v>37</v>
      </c>
      <c r="C28" s="13" t="n">
        <v>200</v>
      </c>
      <c r="E28" s="13" t="n">
        <v>250</v>
      </c>
      <c r="G28" s="13" t="n">
        <v>0</v>
      </c>
      <c r="I28" s="13" t="n">
        <v>0</v>
      </c>
      <c r="K28" s="13" t="n">
        <v>0</v>
      </c>
    </row>
    <row r="29" customFormat="false" ht="19.5" hidden="false" customHeight="true" outlineLevel="0" collapsed="false">
      <c r="B29" s="5" t="s">
        <v>38</v>
      </c>
      <c r="C29" s="13" t="n">
        <v>500</v>
      </c>
      <c r="E29" s="13" t="n">
        <v>600</v>
      </c>
      <c r="G29" s="13" t="n">
        <v>0</v>
      </c>
      <c r="I29" s="13" t="n">
        <v>0</v>
      </c>
      <c r="K29" s="13" t="n">
        <v>0</v>
      </c>
    </row>
    <row r="30" customFormat="false" ht="19.5" hidden="false" customHeight="true" outlineLevel="0" collapsed="false">
      <c r="B30" s="5" t="s">
        <v>39</v>
      </c>
      <c r="C30" s="13" t="n">
        <v>255</v>
      </c>
      <c r="E30" s="13" t="n">
        <v>310</v>
      </c>
      <c r="G30" s="13" t="n">
        <v>0</v>
      </c>
      <c r="I30" s="13" t="n">
        <v>0</v>
      </c>
      <c r="K30" s="13" t="n">
        <v>0</v>
      </c>
    </row>
    <row r="31" customFormat="false" ht="19.5" hidden="false" customHeight="true" outlineLevel="0" collapsed="false">
      <c r="B31" s="5" t="s">
        <v>40</v>
      </c>
      <c r="C31" s="8" t="n">
        <v>0</v>
      </c>
      <c r="E31" s="8" t="n">
        <v>0</v>
      </c>
      <c r="G31" s="8" t="n">
        <v>0</v>
      </c>
      <c r="I31" s="8" t="n">
        <v>0</v>
      </c>
      <c r="K31" s="8" t="n">
        <v>0</v>
      </c>
    </row>
    <row r="32" customFormat="false" ht="19.5" hidden="false" customHeight="true" outlineLevel="0" collapsed="false">
      <c r="B32" s="5" t="s">
        <v>41</v>
      </c>
      <c r="C32" s="16" t="n">
        <f aca="false">IFERROR(C27+C28+C29+C30+C24*C31,0)</f>
        <v>1567</v>
      </c>
      <c r="E32" s="16" t="n">
        <f aca="false">IFERROR(E27+E28+E29+E30+E24*E31,0)</f>
        <v>1896</v>
      </c>
      <c r="G32" s="16" t="n">
        <f aca="false">IFERROR(G27+G28+G29+G30+G24*G31,0)</f>
        <v>0</v>
      </c>
      <c r="I32" s="16" t="n">
        <f aca="false">IFERROR(I27+I28+I29+I30+I24*I31,0)</f>
        <v>0</v>
      </c>
      <c r="K32" s="16" t="n">
        <f aca="false">IFERROR(K27+K28+K29+K30+K24*K31,0)</f>
        <v>0</v>
      </c>
    </row>
    <row r="33" customFormat="false" ht="15.75" hidden="false" customHeight="true" outlineLevel="0" collapsed="false">
      <c r="B33" s="11" t="s">
        <v>42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customFormat="false" ht="19.5" hidden="false" customHeight="true" outlineLevel="0" collapsed="false">
      <c r="B34" s="5" t="s">
        <v>43</v>
      </c>
      <c r="C34" s="13" t="n">
        <v>120000</v>
      </c>
      <c r="E34" s="13" t="n">
        <v>150000</v>
      </c>
      <c r="G34" s="13" t="n">
        <v>0</v>
      </c>
      <c r="I34" s="13" t="n">
        <v>0</v>
      </c>
      <c r="K34" s="13" t="n">
        <v>0</v>
      </c>
    </row>
    <row r="35" customFormat="false" ht="19.5" hidden="false" customHeight="true" outlineLevel="0" collapsed="false">
      <c r="B35" s="5" t="s">
        <v>44</v>
      </c>
      <c r="C35" s="8" t="n">
        <v>2</v>
      </c>
      <c r="E35" s="8" t="n">
        <v>2</v>
      </c>
      <c r="G35" s="8" t="n">
        <v>2</v>
      </c>
      <c r="I35" s="8" t="n">
        <v>2</v>
      </c>
      <c r="K35" s="8" t="n">
        <v>2</v>
      </c>
    </row>
    <row r="36" customFormat="false" ht="19.5" hidden="false" customHeight="true" outlineLevel="0" collapsed="false">
      <c r="B36" s="5" t="s">
        <v>45</v>
      </c>
      <c r="C36" s="6" t="n">
        <v>7</v>
      </c>
      <c r="E36" s="6" t="n">
        <v>8</v>
      </c>
      <c r="G36" s="6" t="n">
        <v>0</v>
      </c>
      <c r="I36" s="6" t="n">
        <v>0</v>
      </c>
      <c r="K36" s="6" t="n">
        <v>0</v>
      </c>
    </row>
    <row r="37" customFormat="false" ht="7.5" hidden="false" customHeight="true" outlineLevel="0" collapsed="false"/>
    <row r="38" customFormat="false" ht="19.5" hidden="false" customHeight="true" outlineLevel="0" collapsed="false">
      <c r="A38" s="4" t="s">
        <v>46</v>
      </c>
      <c r="B38" s="4"/>
      <c r="C38" s="4"/>
      <c r="D38" s="4"/>
      <c r="E38" s="4"/>
      <c r="F38" s="4"/>
      <c r="G38" s="4"/>
    </row>
    <row r="39" customFormat="false" ht="21.75" hidden="false" customHeight="true" outlineLevel="0" collapsed="false">
      <c r="B39" s="5" t="s">
        <v>47</v>
      </c>
      <c r="C39" s="13" t="n">
        <v>77</v>
      </c>
      <c r="E39" s="7" t="s">
        <v>48</v>
      </c>
      <c r="F39" s="7"/>
      <c r="G39" s="7"/>
    </row>
    <row r="40" customFormat="false" ht="21.75" hidden="false" customHeight="true" outlineLevel="0" collapsed="false">
      <c r="B40" s="5" t="s">
        <v>49</v>
      </c>
      <c r="C40" s="13" t="n">
        <v>149</v>
      </c>
      <c r="E40" s="7" t="s">
        <v>50</v>
      </c>
      <c r="F40" s="7"/>
      <c r="G40" s="7"/>
    </row>
    <row r="41" customFormat="false" ht="21.75" hidden="false" customHeight="true" outlineLevel="0" collapsed="false">
      <c r="B41" s="5" t="s">
        <v>51</v>
      </c>
      <c r="C41" s="13" t="n">
        <v>51</v>
      </c>
      <c r="E41" s="7" t="s">
        <v>52</v>
      </c>
      <c r="F41" s="7"/>
      <c r="G41" s="7"/>
    </row>
    <row r="42" customFormat="false" ht="21.75" hidden="false" customHeight="true" outlineLevel="0" collapsed="false">
      <c r="B42" s="5" t="s">
        <v>53</v>
      </c>
      <c r="C42" s="8" t="n">
        <v>10</v>
      </c>
      <c r="E42" s="7" t="s">
        <v>54</v>
      </c>
      <c r="F42" s="7"/>
      <c r="G42" s="7"/>
    </row>
    <row r="43" customFormat="false" ht="21.75" hidden="false" customHeight="true" outlineLevel="0" collapsed="false">
      <c r="B43" s="5" t="s">
        <v>55</v>
      </c>
      <c r="C43" s="8" t="n">
        <v>5</v>
      </c>
      <c r="E43" s="7" t="s">
        <v>56</v>
      </c>
      <c r="F43" s="7"/>
      <c r="G43" s="7"/>
    </row>
    <row r="44" customFormat="false" ht="21.75" hidden="false" customHeight="true" outlineLevel="0" collapsed="false">
      <c r="B44" s="5" t="s">
        <v>57</v>
      </c>
      <c r="C44" s="8" t="n">
        <v>2</v>
      </c>
      <c r="E44" s="7" t="s">
        <v>58</v>
      </c>
      <c r="F44" s="7"/>
      <c r="G44" s="7"/>
    </row>
    <row r="45" customFormat="false" ht="21.75" hidden="false" customHeight="true" outlineLevel="0" collapsed="false">
      <c r="B45" s="5" t="s">
        <v>59</v>
      </c>
      <c r="C45" s="8" t="n">
        <v>15</v>
      </c>
      <c r="E45" s="7" t="s">
        <v>60</v>
      </c>
      <c r="F45" s="7"/>
      <c r="G45" s="7"/>
    </row>
    <row r="46" customFormat="false" ht="7.5" hidden="false" customHeight="true" outlineLevel="0" collapsed="false"/>
    <row r="47" customFormat="false" ht="19.5" hidden="false" customHeight="true" outlineLevel="0" collapsed="false">
      <c r="A47" s="4" t="s">
        <v>61</v>
      </c>
      <c r="B47" s="4"/>
      <c r="C47" s="4"/>
      <c r="D47" s="4"/>
      <c r="E47" s="4"/>
      <c r="F47" s="4"/>
      <c r="G47" s="4"/>
    </row>
    <row r="48" customFormat="false" ht="21.75" hidden="false" customHeight="true" outlineLevel="0" collapsed="false">
      <c r="B48" s="5" t="s">
        <v>62</v>
      </c>
      <c r="C48" s="8" t="n">
        <v>10</v>
      </c>
      <c r="E48" s="7" t="s">
        <v>63</v>
      </c>
      <c r="F48" s="7"/>
      <c r="G48" s="7"/>
    </row>
    <row r="49" customFormat="false" ht="21.75" hidden="false" customHeight="true" outlineLevel="0" collapsed="false">
      <c r="B49" s="5" t="s">
        <v>64</v>
      </c>
      <c r="C49" s="8" t="n">
        <v>10</v>
      </c>
      <c r="E49" s="7" t="s">
        <v>65</v>
      </c>
      <c r="F49" s="7"/>
      <c r="G49" s="7"/>
    </row>
    <row r="50" customFormat="false" ht="21.75" hidden="false" customHeight="true" outlineLevel="0" collapsed="false">
      <c r="B50" s="5" t="s">
        <v>66</v>
      </c>
      <c r="C50" s="8" t="n">
        <v>9</v>
      </c>
      <c r="E50" s="7" t="s">
        <v>67</v>
      </c>
      <c r="F50" s="7"/>
      <c r="G50" s="7"/>
    </row>
    <row r="51" customFormat="false" ht="21.75" hidden="false" customHeight="true" outlineLevel="0" collapsed="false">
      <c r="B51" s="5" t="s">
        <v>68</v>
      </c>
      <c r="C51" s="8" t="n">
        <v>0</v>
      </c>
      <c r="E51" s="7" t="s">
        <v>69</v>
      </c>
      <c r="F51" s="7"/>
      <c r="G51" s="7"/>
    </row>
    <row r="52" customFormat="false" ht="21.75" hidden="false" customHeight="true" outlineLevel="0" collapsed="false">
      <c r="B52" s="5" t="s">
        <v>70</v>
      </c>
      <c r="C52" s="8" t="n">
        <v>10</v>
      </c>
      <c r="E52" s="7" t="s">
        <v>71</v>
      </c>
      <c r="F52" s="7"/>
      <c r="G52" s="7"/>
    </row>
    <row r="53" customFormat="false" ht="9.75" hidden="false" customHeight="true" outlineLevel="0" collapsed="false"/>
    <row r="54" customFormat="false" ht="24" hidden="false" customHeight="true" outlineLevel="0" collapsed="false">
      <c r="B54" s="17" t="s">
        <v>72</v>
      </c>
      <c r="C54" s="17"/>
      <c r="D54" s="17"/>
      <c r="E54" s="17"/>
      <c r="F54" s="17"/>
      <c r="G54" s="17"/>
    </row>
  </sheetData>
  <mergeCells count="28">
    <mergeCell ref="A1:G1"/>
    <mergeCell ref="A2:G2"/>
    <mergeCell ref="A4:G4"/>
    <mergeCell ref="E5:G5"/>
    <mergeCell ref="E6:G6"/>
    <mergeCell ref="E7:G7"/>
    <mergeCell ref="E8:G8"/>
    <mergeCell ref="E9:G9"/>
    <mergeCell ref="A11:L11"/>
    <mergeCell ref="B13:L13"/>
    <mergeCell ref="B22:L22"/>
    <mergeCell ref="B26:L26"/>
    <mergeCell ref="B33:L33"/>
    <mergeCell ref="A38:G38"/>
    <mergeCell ref="E39:G39"/>
    <mergeCell ref="E40:G40"/>
    <mergeCell ref="E41:G41"/>
    <mergeCell ref="E42:G42"/>
    <mergeCell ref="E43:G43"/>
    <mergeCell ref="E44:G44"/>
    <mergeCell ref="E45:G45"/>
    <mergeCell ref="A47:G47"/>
    <mergeCell ref="E48:G48"/>
    <mergeCell ref="E49:G49"/>
    <mergeCell ref="E50:G50"/>
    <mergeCell ref="E51:G51"/>
    <mergeCell ref="E52:G52"/>
    <mergeCell ref="B54:G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6" min="3" style="1" width="14"/>
    <col collapsed="false" customWidth="true" hidden="false" outlineLevel="0" max="7" min="7" style="1" width="3"/>
  </cols>
  <sheetData>
    <row r="1" customFormat="false" ht="36" hidden="false" customHeight="true" outlineLevel="0" collapsed="false">
      <c r="A1" s="18" t="s">
        <v>73</v>
      </c>
      <c r="B1" s="18"/>
      <c r="C1" s="18"/>
      <c r="D1" s="18"/>
      <c r="E1" s="18"/>
      <c r="F1" s="18"/>
      <c r="G1" s="18"/>
    </row>
    <row r="2" customFormat="false" ht="18" hidden="false" customHeight="true" outlineLevel="0" collapsed="false">
      <c r="A2" s="3" t="s">
        <v>74</v>
      </c>
      <c r="B2" s="3"/>
      <c r="C2" s="3"/>
      <c r="D2" s="3"/>
      <c r="E2" s="3"/>
      <c r="F2" s="3"/>
      <c r="G2" s="3"/>
    </row>
    <row r="3" customFormat="false" ht="6" hidden="false" customHeight="true" outlineLevel="0" collapsed="false"/>
    <row r="4" customFormat="false" ht="25.5" hidden="false" customHeight="true" outlineLevel="0" collapsed="false">
      <c r="A4" s="19" t="s">
        <v>75</v>
      </c>
      <c r="B4" s="19"/>
      <c r="C4" s="19" t="s">
        <v>76</v>
      </c>
      <c r="D4" s="19"/>
      <c r="E4" s="19" t="s">
        <v>77</v>
      </c>
      <c r="F4" s="19"/>
      <c r="G4" s="19" t="s">
        <v>78</v>
      </c>
      <c r="H4" s="19"/>
    </row>
    <row r="5" customFormat="false" ht="7.5" hidden="false" customHeight="true" outlineLevel="0" collapsed="false"/>
    <row r="6" customFormat="false" ht="19.5" hidden="false" customHeight="true" outlineLevel="0" collapsed="false">
      <c r="A6" s="4" t="s">
        <v>79</v>
      </c>
      <c r="B6" s="4"/>
      <c r="C6" s="4"/>
      <c r="D6" s="4"/>
      <c r="E6" s="4"/>
      <c r="F6" s="4"/>
      <c r="G6" s="4"/>
    </row>
    <row r="7" customFormat="false" ht="21.75" hidden="false" customHeight="true" outlineLevel="0" collapsed="false">
      <c r="B7" s="10" t="s">
        <v>14</v>
      </c>
      <c r="C7" s="20" t="s">
        <v>15</v>
      </c>
      <c r="D7" s="20" t="s">
        <v>16</v>
      </c>
      <c r="E7" s="20" t="s">
        <v>17</v>
      </c>
      <c r="F7" s="20" t="s">
        <v>80</v>
      </c>
    </row>
    <row r="8" customFormat="false" ht="21.75" hidden="false" customHeight="true" outlineLevel="0" collapsed="false">
      <c r="B8" s="5" t="s">
        <v>24</v>
      </c>
      <c r="C8" s="21" t="n">
        <f aca="false">'📋 Входни данни'!C15</f>
        <v>77000</v>
      </c>
      <c r="D8" s="21" t="n">
        <f aca="false">'📋 Входни данни'!D15</f>
        <v>0</v>
      </c>
      <c r="E8" s="21" t="n">
        <f aca="false">'📋 Входни данни'!E15</f>
        <v>102000</v>
      </c>
      <c r="F8" s="21" t="n">
        <f aca="false">C8+D8+E8</f>
        <v>179000</v>
      </c>
    </row>
    <row r="9" customFormat="false" ht="21.75" hidden="false" customHeight="true" outlineLevel="0" collapsed="false">
      <c r="B9" s="5" t="s">
        <v>81</v>
      </c>
      <c r="C9" s="21" t="n">
        <f aca="false">'📋 Входни данни'!C25</f>
        <v>-42840</v>
      </c>
      <c r="D9" s="21" t="n">
        <f aca="false">'📋 Входни данни'!D25</f>
        <v>0</v>
      </c>
      <c r="E9" s="21" t="n">
        <f aca="false">'📋 Входни данни'!E25</f>
        <v>-51408</v>
      </c>
      <c r="F9" s="21" t="n">
        <f aca="false">C9+D9+E9</f>
        <v>-94248</v>
      </c>
    </row>
    <row r="10" customFormat="false" ht="21.75" hidden="false" customHeight="true" outlineLevel="0" collapsed="false">
      <c r="B10" s="5" t="s">
        <v>82</v>
      </c>
      <c r="C10" s="16" t="n">
        <f aca="false">-IFERROR('📋 Входни данни'!C25*'📋 Входни данни'!$C$50,0)</f>
        <v>385560</v>
      </c>
      <c r="D10" s="16" t="n">
        <f aca="false">-IFERROR('📋 Входни данни'!D25*'📋 Входни данни'!$C$50,0)</f>
        <v>-0</v>
      </c>
      <c r="E10" s="16" t="n">
        <f aca="false">-IFERROR('📋 Входни данни'!E25*'📋 Входни данни'!$C$50,0)</f>
        <v>462672</v>
      </c>
      <c r="F10" s="21" t="n">
        <f aca="false">C10+D10+E10</f>
        <v>848232</v>
      </c>
    </row>
    <row r="11" customFormat="false" ht="21.75" hidden="false" customHeight="true" outlineLevel="0" collapsed="false">
      <c r="B11" s="5" t="s">
        <v>83</v>
      </c>
      <c r="C11" s="16" t="n">
        <f aca="false">-'📋 Входни данни'!C32</f>
        <v>-1567</v>
      </c>
      <c r="D11" s="16" t="n">
        <f aca="false">-'📋 Входни данни'!D32</f>
        <v>-0</v>
      </c>
      <c r="E11" s="16" t="n">
        <f aca="false">-'📋 Входни данни'!E32</f>
        <v>-1896</v>
      </c>
      <c r="F11" s="21" t="n">
        <f aca="false">C11+D11+E11</f>
        <v>-3463</v>
      </c>
    </row>
    <row r="12" customFormat="false" ht="21.75" hidden="false" customHeight="true" outlineLevel="0" collapsed="false">
      <c r="B12" s="22" t="s">
        <v>84</v>
      </c>
      <c r="C12" s="23" t="n">
        <f aca="false">IFERROR(C9+C10+C11,0)</f>
        <v>341153</v>
      </c>
      <c r="D12" s="23" t="n">
        <f aca="false">IFERROR(D9+D10+D11,0)</f>
        <v>0</v>
      </c>
      <c r="E12" s="23" t="n">
        <f aca="false">IFERROR(E9+E10+E11,0)</f>
        <v>409368</v>
      </c>
      <c r="F12" s="23" t="n">
        <f aca="false">C12+D12+E12</f>
        <v>750521</v>
      </c>
    </row>
    <row r="13" customFormat="false" ht="21.75" hidden="false" customHeight="true" outlineLevel="0" collapsed="false">
      <c r="B13" s="5" t="s">
        <v>85</v>
      </c>
      <c r="C13" s="24" t="n">
        <f aca="false">'📋 Входни данни'!C21</f>
        <v>0</v>
      </c>
      <c r="D13" s="24" t="n">
        <f aca="false">'📋 Входни данни'!D21</f>
        <v>0</v>
      </c>
      <c r="E13" s="24" t="n">
        <f aca="false">'📋 Входни данни'!E21</f>
        <v>0</v>
      </c>
      <c r="F13" s="24" t="n">
        <f aca="false">C13+D13+E13</f>
        <v>0</v>
      </c>
    </row>
    <row r="14" customFormat="false" ht="21.75" hidden="false" customHeight="true" outlineLevel="0" collapsed="false">
      <c r="B14" s="5" t="s">
        <v>86</v>
      </c>
      <c r="C14" s="25" t="n">
        <f aca="false">IFERROR(C12/C13,0)</f>
        <v>0</v>
      </c>
      <c r="D14" s="25" t="n">
        <f aca="false">IFERROR(D12/D13,0)</f>
        <v>0</v>
      </c>
      <c r="E14" s="25" t="n">
        <f aca="false">IFERROR(E12/E13,0)</f>
        <v>0</v>
      </c>
    </row>
    <row r="15" customFormat="false" ht="21.75" hidden="false" customHeight="true" outlineLevel="0" collapsed="false">
      <c r="B15" s="5" t="s">
        <v>87</v>
      </c>
      <c r="C15" s="25" t="n">
        <f aca="false">IFERROR(C9/C13,0)</f>
        <v>0</v>
      </c>
      <c r="D15" s="25" t="n">
        <f aca="false">IFERROR(D9/D13,0)</f>
        <v>0</v>
      </c>
      <c r="E15" s="25" t="n">
        <f aca="false">IFERROR(E9/E13,0)</f>
        <v>0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4" t="s">
        <v>88</v>
      </c>
      <c r="B17" s="4"/>
      <c r="C17" s="4"/>
      <c r="D17" s="4"/>
      <c r="E17" s="4"/>
      <c r="F17" s="4"/>
      <c r="G17" s="4"/>
    </row>
    <row r="18" customFormat="false" ht="21.75" hidden="false" customHeight="true" outlineLevel="0" collapsed="false">
      <c r="B18" s="10" t="s">
        <v>14</v>
      </c>
      <c r="C18" s="26" t="s">
        <v>15</v>
      </c>
      <c r="D18" s="26" t="s">
        <v>16</v>
      </c>
      <c r="E18" s="26" t="s">
        <v>17</v>
      </c>
      <c r="F18" s="26" t="s">
        <v>80</v>
      </c>
    </row>
    <row r="19" customFormat="false" ht="21.75" hidden="false" customHeight="true" outlineLevel="0" collapsed="false">
      <c r="B19" s="5" t="s">
        <v>89</v>
      </c>
      <c r="C19" s="27" t="n">
        <f aca="false">'📋 Входни данни'!C34</f>
        <v>120000</v>
      </c>
      <c r="D19" s="27" t="n">
        <f aca="false">'📋 Входни данни'!D34</f>
        <v>0</v>
      </c>
      <c r="E19" s="27" t="n">
        <f aca="false">'📋 Входни данни'!E34</f>
        <v>150000</v>
      </c>
      <c r="F19" s="21" t="n">
        <f aca="false">C19+D19+E19</f>
        <v>270000</v>
      </c>
    </row>
    <row r="20" customFormat="false" ht="21.75" hidden="false" customHeight="true" outlineLevel="0" collapsed="false">
      <c r="B20" s="5" t="s">
        <v>90</v>
      </c>
      <c r="C20" s="27" t="n">
        <f aca="false">'📋 Входни данни'!C21</f>
        <v>0</v>
      </c>
      <c r="D20" s="27" t="n">
        <f aca="false">'📋 Входни данни'!D21</f>
        <v>0</v>
      </c>
      <c r="E20" s="27" t="n">
        <f aca="false">'📋 Входни данни'!E21</f>
        <v>0</v>
      </c>
      <c r="F20" s="21" t="n">
        <f aca="false">C20+D20+E20</f>
        <v>0</v>
      </c>
    </row>
    <row r="21" customFormat="false" ht="21.75" hidden="false" customHeight="true" outlineLevel="0" collapsed="false">
      <c r="B21" s="5" t="s">
        <v>45</v>
      </c>
      <c r="C21" s="27" t="n">
        <f aca="false">'📋 Входни данни'!C36</f>
        <v>7</v>
      </c>
      <c r="D21" s="27" t="n">
        <f aca="false">'📋 Входни данни'!D36</f>
        <v>0</v>
      </c>
      <c r="E21" s="27" t="n">
        <f aca="false">'📋 Входни данни'!E36</f>
        <v>8</v>
      </c>
      <c r="F21" s="21" t="n">
        <f aca="false">C21+D21+E21</f>
        <v>15</v>
      </c>
    </row>
    <row r="22" customFormat="false" ht="21.75" hidden="false" customHeight="true" outlineLevel="0" collapsed="false">
      <c r="B22" s="5" t="s">
        <v>91</v>
      </c>
      <c r="C22" s="28"/>
      <c r="D22" s="28"/>
      <c r="E22" s="28"/>
      <c r="F22" s="29"/>
    </row>
    <row r="23" customFormat="false" ht="21.75" hidden="false" customHeight="true" outlineLevel="0" collapsed="false">
      <c r="B23" s="5" t="s">
        <v>92</v>
      </c>
      <c r="C23" s="28"/>
      <c r="D23" s="28"/>
      <c r="E23" s="28"/>
      <c r="F23" s="29"/>
    </row>
    <row r="24" customFormat="false" ht="21.75" hidden="false" customHeight="true" outlineLevel="0" collapsed="false">
      <c r="B24" s="5" t="s">
        <v>93</v>
      </c>
      <c r="C24" s="30" t="str">
        <f aca="false">IF(C21&gt;3,"Да","Не")</f>
        <v>Да</v>
      </c>
      <c r="D24" s="30" t="str">
        <f aca="false">IF(D21&gt;3,"Да","Не")</f>
        <v>Не</v>
      </c>
      <c r="E24" s="30" t="str">
        <f aca="false">IF(E21&gt;3,"Да","Не")</f>
        <v>Да</v>
      </c>
      <c r="F24" s="29"/>
    </row>
    <row r="25" customFormat="false" ht="21.75" hidden="false" customHeight="true" outlineLevel="0" collapsed="false">
      <c r="B25" s="31" t="s">
        <v>94</v>
      </c>
      <c r="C25" s="16" t="n">
        <f aca="false">IFERROR(IF(C21&gt;3,(C19-C20)*'📋 Входни данни'!$C$51,(C19-C20)*'📋 Входни данни'!$C$52),0)</f>
        <v>0</v>
      </c>
      <c r="D25" s="16" t="n">
        <f aca="false">IFERROR(IF(D21&gt;3,(D19-D20)*'📋 Входни данни'!$C$51,(D19-D20)*'📋 Входни данни'!$C$52),0)</f>
        <v>0</v>
      </c>
      <c r="E25" s="16" t="n">
        <f aca="false">IFERROR(IF(E21&gt;3,(E19-E20)*'📋 Входни данни'!$C$51,(E19-E20)*'📋 Входни данни'!$C$52),0)</f>
        <v>0</v>
      </c>
      <c r="F25" s="21" t="n">
        <f aca="false">C25+D25+E25</f>
        <v>0</v>
      </c>
    </row>
    <row r="26" customFormat="false" ht="21.75" hidden="false" customHeight="true" outlineLevel="0" collapsed="false">
      <c r="B26" s="31" t="s">
        <v>95</v>
      </c>
      <c r="C26" s="32" t="n">
        <f aca="false">IFERROR(C19-C20-C25,0)</f>
        <v>120000</v>
      </c>
      <c r="D26" s="32" t="n">
        <f aca="false">IFERROR(D19-D20-D25,0)</f>
        <v>0</v>
      </c>
      <c r="E26" s="32" t="n">
        <f aca="false">IFERROR(E19-E20-E25,0)</f>
        <v>150000</v>
      </c>
      <c r="F26" s="21" t="n">
        <f aca="false">C26+D26+E26</f>
        <v>270000</v>
      </c>
    </row>
  </sheetData>
  <mergeCells count="8">
    <mergeCell ref="A1:G1"/>
    <mergeCell ref="A2:G2"/>
    <mergeCell ref="A4:B4"/>
    <mergeCell ref="C4:D4"/>
    <mergeCell ref="E4:F4"/>
    <mergeCell ref="G4:H4"/>
    <mergeCell ref="A6:G6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6" min="3" style="1" width="14"/>
    <col collapsed="false" customWidth="true" hidden="false" outlineLevel="0" max="7" min="7" style="1" width="3"/>
  </cols>
  <sheetData>
    <row r="1" customFormat="false" ht="36" hidden="false" customHeight="true" outlineLevel="0" collapsed="false">
      <c r="A1" s="33" t="s">
        <v>96</v>
      </c>
      <c r="B1" s="33"/>
      <c r="C1" s="33"/>
      <c r="D1" s="33"/>
      <c r="E1" s="33"/>
      <c r="F1" s="33"/>
      <c r="G1" s="33"/>
    </row>
    <row r="2" customFormat="false" ht="18" hidden="false" customHeight="true" outlineLevel="0" collapsed="false">
      <c r="A2" s="3" t="s">
        <v>97</v>
      </c>
      <c r="B2" s="3"/>
      <c r="C2" s="3"/>
      <c r="D2" s="3"/>
      <c r="E2" s="3"/>
      <c r="F2" s="3"/>
      <c r="G2" s="3"/>
    </row>
    <row r="3" customFormat="false" ht="6" hidden="false" customHeight="true" outlineLevel="0" collapsed="false"/>
    <row r="4" customFormat="false" ht="7.5" hidden="false" customHeight="true" outlineLevel="0" collapsed="false"/>
    <row r="5" customFormat="false" ht="19.5" hidden="false" customHeight="true" outlineLevel="0" collapsed="false">
      <c r="A5" s="4" t="s">
        <v>98</v>
      </c>
      <c r="B5" s="4"/>
      <c r="C5" s="4"/>
      <c r="D5" s="4"/>
      <c r="E5" s="4"/>
      <c r="F5" s="4"/>
      <c r="G5" s="4"/>
    </row>
    <row r="6" customFormat="false" ht="21.75" hidden="false" customHeight="true" outlineLevel="0" collapsed="false">
      <c r="B6" s="10" t="s">
        <v>14</v>
      </c>
      <c r="C6" s="34" t="s">
        <v>99</v>
      </c>
      <c r="D6" s="10" t="s">
        <v>100</v>
      </c>
      <c r="E6" s="10"/>
      <c r="F6" s="10"/>
      <c r="G6" s="10"/>
    </row>
    <row r="7" customFormat="false" ht="21.75" hidden="false" customHeight="true" outlineLevel="0" collapsed="false">
      <c r="B7" s="5" t="s">
        <v>101</v>
      </c>
      <c r="C7" s="21" t="n">
        <f aca="false">'📋 Входни данни'!C39*12</f>
        <v>924</v>
      </c>
      <c r="D7" s="7" t="s">
        <v>102</v>
      </c>
      <c r="E7" s="7"/>
      <c r="F7" s="7"/>
      <c r="G7" s="7"/>
    </row>
    <row r="8" customFormat="false" ht="21.75" hidden="false" customHeight="true" outlineLevel="0" collapsed="false">
      <c r="B8" s="5" t="s">
        <v>103</v>
      </c>
      <c r="C8" s="21" t="n">
        <f aca="false">'📋 Входни данни'!C40*12</f>
        <v>1788</v>
      </c>
      <c r="D8" s="7" t="s">
        <v>102</v>
      </c>
      <c r="E8" s="7"/>
      <c r="F8" s="7"/>
      <c r="G8" s="7"/>
    </row>
    <row r="9" customFormat="false" ht="21.75" hidden="false" customHeight="true" outlineLevel="0" collapsed="false">
      <c r="B9" s="5" t="s">
        <v>104</v>
      </c>
      <c r="C9" s="21" t="n">
        <f aca="false">'📋 Входни данни'!C41</f>
        <v>51</v>
      </c>
      <c r="D9" s="7" t="s">
        <v>105</v>
      </c>
      <c r="E9" s="7"/>
      <c r="F9" s="7"/>
      <c r="G9" s="7"/>
    </row>
    <row r="10" customFormat="false" ht="21.75" hidden="false" customHeight="true" outlineLevel="0" collapsed="false">
      <c r="B10" s="35" t="s">
        <v>106</v>
      </c>
      <c r="C10" s="36" t="n">
        <f aca="false">C7+C8+C9</f>
        <v>2763</v>
      </c>
      <c r="D10" s="7" t="s">
        <v>107</v>
      </c>
      <c r="E10" s="7"/>
      <c r="F10" s="7"/>
      <c r="G10" s="7"/>
    </row>
    <row r="11" customFormat="false" ht="7.5" hidden="false" customHeight="true" outlineLevel="0" collapsed="false"/>
    <row r="12" customFormat="false" ht="19.5" hidden="false" customHeight="true" outlineLevel="0" collapsed="false">
      <c r="A12" s="4" t="s">
        <v>108</v>
      </c>
      <c r="B12" s="4"/>
      <c r="C12" s="4"/>
      <c r="D12" s="4"/>
      <c r="E12" s="4"/>
      <c r="F12" s="4"/>
      <c r="G12" s="4"/>
    </row>
    <row r="13" customFormat="false" ht="21.75" hidden="false" customHeight="true" outlineLevel="0" collapsed="false">
      <c r="B13" s="10" t="s">
        <v>14</v>
      </c>
      <c r="C13" s="34" t="s">
        <v>15</v>
      </c>
      <c r="D13" s="34" t="s">
        <v>16</v>
      </c>
      <c r="E13" s="34" t="s">
        <v>17</v>
      </c>
      <c r="F13" s="34" t="s">
        <v>80</v>
      </c>
    </row>
    <row r="14" customFormat="false" ht="21.75" hidden="false" customHeight="true" outlineLevel="0" collapsed="false">
      <c r="B14" s="5" t="s">
        <v>24</v>
      </c>
      <c r="C14" s="27" t="n">
        <f aca="false">'📋 Входни данни'!C15</f>
        <v>77000</v>
      </c>
      <c r="D14" s="27" t="n">
        <f aca="false">'📋 Входни данни'!D15</f>
        <v>0</v>
      </c>
      <c r="E14" s="27" t="n">
        <f aca="false">'📋 Входни данни'!E15</f>
        <v>102000</v>
      </c>
      <c r="F14" s="27" t="n">
        <f aca="false">C14+D14+E14</f>
        <v>179000</v>
      </c>
    </row>
    <row r="15" customFormat="false" ht="21.75" hidden="false" customHeight="true" outlineLevel="0" collapsed="false">
      <c r="B15" s="5" t="s">
        <v>81</v>
      </c>
      <c r="C15" s="27" t="n">
        <f aca="false">'📋 Входни данни'!C25</f>
        <v>-42840</v>
      </c>
      <c r="D15" s="27" t="n">
        <f aca="false">'📋 Входни данни'!D25</f>
        <v>0</v>
      </c>
      <c r="E15" s="27" t="n">
        <f aca="false">'📋 Входни данни'!E25</f>
        <v>-51408</v>
      </c>
      <c r="F15" s="27" t="n">
        <f aca="false">C15+D15+E15</f>
        <v>-94248</v>
      </c>
    </row>
    <row r="16" customFormat="false" ht="21.75" hidden="false" customHeight="true" outlineLevel="0" collapsed="false">
      <c r="B16" s="37" t="s">
        <v>83</v>
      </c>
      <c r="C16" s="16" t="n">
        <f aca="false">-'📋 Входни данни'!C32</f>
        <v>-1567</v>
      </c>
      <c r="D16" s="16" t="n">
        <f aca="false">-'📋 Входни данни'!D32</f>
        <v>-0</v>
      </c>
      <c r="E16" s="16" t="n">
        <f aca="false">-'📋 Входни данни'!E32</f>
        <v>-1896</v>
      </c>
      <c r="F16" s="16" t="n">
        <f aca="false">C16+D16+E16</f>
        <v>-3463</v>
      </c>
    </row>
    <row r="17" customFormat="false" ht="21.75" hidden="false" customHeight="true" outlineLevel="0" collapsed="false">
      <c r="B17" s="37" t="s">
        <v>109</v>
      </c>
      <c r="C17" s="16" t="n">
        <f aca="false">-IFERROR('📋 Входни данни'!C15*'📋 Входни данни'!$C$44,0)</f>
        <v>-154000</v>
      </c>
      <c r="D17" s="16" t="n">
        <f aca="false">-IFERROR('📋 Входни данни'!D15*'📋 Входни данни'!$C$44,0)</f>
        <v>-0</v>
      </c>
      <c r="E17" s="16" t="n">
        <f aca="false">-IFERROR('📋 Входни данни'!E15*'📋 Входни данни'!$C$44,0)</f>
        <v>-204000</v>
      </c>
      <c r="F17" s="16" t="n">
        <f aca="false">C17+D17+E17</f>
        <v>-358000</v>
      </c>
    </row>
    <row r="18" customFormat="false" ht="21.75" hidden="false" customHeight="true" outlineLevel="0" collapsed="false">
      <c r="B18" s="37" t="s">
        <v>110</v>
      </c>
      <c r="C18" s="16" t="n">
        <f aca="false">-IFERROR('📋 Входни данни'!C20*'📋 Входни данни'!$C$45,0)</f>
        <v>-60000</v>
      </c>
      <c r="D18" s="16" t="n">
        <f aca="false">-IFERROR('📋 Входни данни'!D20*'📋 Входни данни'!$C$45,0)</f>
        <v>-0</v>
      </c>
      <c r="E18" s="16" t="n">
        <f aca="false">-IFERROR('📋 Входни данни'!E20*'📋 Входни данни'!$C$45,0)</f>
        <v>-45000</v>
      </c>
      <c r="F18" s="16" t="n">
        <f aca="false">C18+D18+E18</f>
        <v>-105000</v>
      </c>
    </row>
    <row r="19" customFormat="false" ht="21.75" hidden="false" customHeight="true" outlineLevel="0" collapsed="false">
      <c r="B19" s="5" t="s">
        <v>111</v>
      </c>
      <c r="C19" s="27" t="n">
        <f aca="false">IFERROR(C15+C16+C17+C18,0)</f>
        <v>-258407</v>
      </c>
      <c r="D19" s="27" t="n">
        <f aca="false">IFERROR(D15+D16+D17+D18,0)</f>
        <v>0</v>
      </c>
      <c r="E19" s="27" t="n">
        <f aca="false">IFERROR(E15+E16+E17+E18,0)</f>
        <v>-302304</v>
      </c>
      <c r="F19" s="27" t="n">
        <f aca="false">C19+D19+E19</f>
        <v>-560711</v>
      </c>
    </row>
    <row r="20" customFormat="false" ht="21.75" hidden="false" customHeight="true" outlineLevel="0" collapsed="false">
      <c r="B20" s="37" t="s">
        <v>112</v>
      </c>
      <c r="C20" s="16" t="n">
        <f aca="false">-IFERROR(MAX(C19,0)*'📋 Входни данни'!$C$42,0)</f>
        <v>-0</v>
      </c>
      <c r="D20" s="16" t="n">
        <f aca="false">-IFERROR(MAX(D19,0)*'📋 Входни данни'!$C$42,0)</f>
        <v>-0</v>
      </c>
      <c r="E20" s="16" t="n">
        <f aca="false">-IFERROR(MAX(E19,0)*'📋 Входни данни'!$C$42,0)</f>
        <v>-0</v>
      </c>
      <c r="F20" s="16" t="n">
        <f aca="false">C20+D20+E20</f>
        <v>-0</v>
      </c>
    </row>
    <row r="21" customFormat="false" ht="21.75" hidden="false" customHeight="true" outlineLevel="0" collapsed="false">
      <c r="B21" s="5" t="s">
        <v>113</v>
      </c>
      <c r="C21" s="27" t="n">
        <f aca="false">IFERROR(MAX(C19,0)+C20,0)</f>
        <v>0</v>
      </c>
      <c r="D21" s="27" t="n">
        <f aca="false">IFERROR(MAX(D19,0)+D20,0)</f>
        <v>0</v>
      </c>
      <c r="E21" s="27" t="n">
        <f aca="false">IFERROR(MAX(E19,0)+E20,0)</f>
        <v>0</v>
      </c>
      <c r="F21" s="27" t="n">
        <f aca="false">C21+D21+E21</f>
        <v>0</v>
      </c>
    </row>
    <row r="22" customFormat="false" ht="21.75" hidden="false" customHeight="true" outlineLevel="0" collapsed="false">
      <c r="B22" s="37" t="s">
        <v>114</v>
      </c>
      <c r="C22" s="16" t="n">
        <f aca="false">-IFERROR(C21*'📋 Входни данни'!$C$43,0)</f>
        <v>-0</v>
      </c>
      <c r="D22" s="16" t="n">
        <f aca="false">-IFERROR(D21*'📋 Входни данни'!$C$43,0)</f>
        <v>-0</v>
      </c>
      <c r="E22" s="16" t="n">
        <f aca="false">-IFERROR(E21*'📋 Входни данни'!$C$43,0)</f>
        <v>-0</v>
      </c>
      <c r="F22" s="16" t="n">
        <f aca="false">C22+D22+E22</f>
        <v>-0</v>
      </c>
    </row>
    <row r="23" customFormat="false" ht="21.75" hidden="false" customHeight="true" outlineLevel="0" collapsed="false">
      <c r="B23" s="22" t="s">
        <v>115</v>
      </c>
      <c r="C23" s="23" t="n">
        <f aca="false">IFERROR(C21+C22,0)</f>
        <v>0</v>
      </c>
      <c r="D23" s="23" t="n">
        <f aca="false">IFERROR(D21+D22,0)</f>
        <v>0</v>
      </c>
      <c r="E23" s="23" t="n">
        <f aca="false">IFERROR(E21+E22,0)</f>
        <v>0</v>
      </c>
      <c r="F23" s="23" t="n">
        <f aca="false">C23+D23+E23</f>
        <v>0</v>
      </c>
    </row>
    <row r="24" customFormat="false" ht="21.75" hidden="false" customHeight="true" outlineLevel="0" collapsed="false">
      <c r="B24" s="37" t="s">
        <v>116</v>
      </c>
      <c r="C24" s="16" t="n">
        <f aca="false">-IFERROR('🏢 ЕООД'!$C$10/MAX('📋 Входни данни'!$C$5,1),0)</f>
        <v>-1381.5</v>
      </c>
      <c r="D24" s="16" t="n">
        <f aca="false">-IFERROR('🏢 ЕООД'!$C$10/MAX('📋 Входни данни'!$C$5,1),0)</f>
        <v>-1381.5</v>
      </c>
      <c r="E24" s="16" t="n">
        <f aca="false">-IFERROR('🏢 ЕООД'!$C$10/MAX('📋 Входни данни'!$C$5,1),0)</f>
        <v>-1381.5</v>
      </c>
      <c r="F24" s="16" t="n">
        <f aca="false">-'🏢 ЕООД'!$C$10</f>
        <v>-2763</v>
      </c>
    </row>
    <row r="25" customFormat="false" ht="21.75" hidden="false" customHeight="true" outlineLevel="0" collapsed="false">
      <c r="B25" s="22" t="s">
        <v>84</v>
      </c>
      <c r="C25" s="23" t="n">
        <f aca="false">IFERROR(C23+C24,0)</f>
        <v>-1381.5</v>
      </c>
      <c r="D25" s="23" t="n">
        <f aca="false">IFERROR(D23+D24,0)</f>
        <v>-1381.5</v>
      </c>
      <c r="E25" s="23" t="n">
        <f aca="false">IFERROR(E23+E24,0)</f>
        <v>-1381.5</v>
      </c>
      <c r="F25" s="23" t="n">
        <f aca="false">C25+D25+E25</f>
        <v>-4144.5</v>
      </c>
    </row>
    <row r="26" customFormat="false" ht="21.75" hidden="false" customHeight="true" outlineLevel="0" collapsed="false">
      <c r="B26" s="38" t="s">
        <v>117</v>
      </c>
      <c r="C26" s="24" t="n">
        <f aca="false">'📋 Входни данни'!C21</f>
        <v>0</v>
      </c>
      <c r="D26" s="24" t="n">
        <f aca="false">'📋 Входни данни'!D21</f>
        <v>0</v>
      </c>
      <c r="E26" s="24" t="n">
        <f aca="false">'📋 Входни данни'!E21</f>
        <v>0</v>
      </c>
      <c r="F26" s="24" t="n">
        <f aca="false">C26+D26+E26</f>
        <v>0</v>
      </c>
    </row>
    <row r="27" customFormat="false" ht="21.75" hidden="false" customHeight="true" outlineLevel="0" collapsed="false">
      <c r="B27" s="39" t="s">
        <v>86</v>
      </c>
      <c r="C27" s="25" t="n">
        <f aca="false">IFERROR(C25/C26,0)</f>
        <v>0</v>
      </c>
      <c r="D27" s="25" t="n">
        <f aca="false">IFERROR(D25/D26,0)</f>
        <v>0</v>
      </c>
      <c r="E27" s="25" t="n">
        <f aca="false">IFERROR(E25/E26,0)</f>
        <v>0</v>
      </c>
      <c r="F27" s="25" t="n">
        <f aca="false">IFERROR(F25/F26,0)</f>
        <v>0</v>
      </c>
    </row>
    <row r="28" customFormat="false" ht="21.75" hidden="false" customHeight="true" outlineLevel="0" collapsed="false">
      <c r="B28" s="39" t="s">
        <v>87</v>
      </c>
      <c r="C28" s="25" t="n">
        <f aca="false">IFERROR(C15/C26,0)</f>
        <v>0</v>
      </c>
      <c r="D28" s="25" t="n">
        <f aca="false">IFERROR(D15/D26,0)</f>
        <v>0</v>
      </c>
      <c r="E28" s="25" t="n">
        <f aca="false">IFERROR(E15/E26,0)</f>
        <v>0</v>
      </c>
      <c r="F28" s="25" t="n">
        <f aca="false">IFERROR(F25/F26,0)</f>
        <v>0</v>
      </c>
    </row>
    <row r="29" customFormat="false" ht="7.5" hidden="false" customHeight="true" outlineLevel="0" collapsed="false"/>
    <row r="30" customFormat="false" ht="19.5" hidden="false" customHeight="true" outlineLevel="0" collapsed="false">
      <c r="A30" s="4" t="s">
        <v>118</v>
      </c>
      <c r="B30" s="4"/>
      <c r="C30" s="4"/>
      <c r="D30" s="4"/>
      <c r="E30" s="4"/>
      <c r="F30" s="4"/>
      <c r="G30" s="4"/>
    </row>
    <row r="31" customFormat="false" ht="21.75" hidden="false" customHeight="true" outlineLevel="0" collapsed="false">
      <c r="B31" s="10" t="s">
        <v>14</v>
      </c>
      <c r="C31" s="26" t="s">
        <v>15</v>
      </c>
      <c r="D31" s="26" t="s">
        <v>16</v>
      </c>
      <c r="E31" s="26" t="s">
        <v>17</v>
      </c>
      <c r="F31" s="26" t="s">
        <v>80</v>
      </c>
    </row>
    <row r="32" customFormat="false" ht="21.75" hidden="false" customHeight="true" outlineLevel="0" collapsed="false">
      <c r="B32" s="5" t="s">
        <v>89</v>
      </c>
      <c r="C32" s="21" t="n">
        <f aca="false">'📋 Входни данни'!C34</f>
        <v>120000</v>
      </c>
      <c r="D32" s="21" t="n">
        <f aca="false">'📋 Входни данни'!D34</f>
        <v>0</v>
      </c>
      <c r="E32" s="21" t="n">
        <f aca="false">'📋 Входни данни'!E34</f>
        <v>150000</v>
      </c>
      <c r="F32" s="21" t="n">
        <f aca="false">C32+D32+E32</f>
        <v>270000</v>
      </c>
    </row>
    <row r="33" customFormat="false" ht="21.75" hidden="false" customHeight="true" outlineLevel="0" collapsed="false">
      <c r="B33" s="5" t="s">
        <v>90</v>
      </c>
      <c r="C33" s="21" t="n">
        <f aca="false">'📋 Входни данни'!C21</f>
        <v>0</v>
      </c>
      <c r="D33" s="21" t="n">
        <f aca="false">'📋 Входни данни'!D21</f>
        <v>0</v>
      </c>
      <c r="E33" s="21" t="n">
        <f aca="false">'📋 Входни данни'!E21</f>
        <v>0</v>
      </c>
      <c r="F33" s="21" t="n">
        <f aca="false">C33+D33+E33</f>
        <v>0</v>
      </c>
    </row>
    <row r="34" customFormat="false" ht="21.75" hidden="false" customHeight="true" outlineLevel="0" collapsed="false">
      <c r="B34" s="5" t="s">
        <v>119</v>
      </c>
      <c r="C34" s="21" t="n">
        <f aca="false">IFERROR('📋 Входни данни'!C15*'📋 Входни данни'!$C$44*'📋 Входни данни'!C36,0)</f>
        <v>1078000</v>
      </c>
      <c r="D34" s="21" t="n">
        <f aca="false">IFERROR('📋 Входни данни'!D15*'📋 Входни данни'!$C$44*'📋 Входни данни'!D36,0)</f>
        <v>0</v>
      </c>
      <c r="E34" s="21" t="n">
        <f aca="false">IFERROR('📋 Входни данни'!E15*'📋 Входни данни'!$C$44*'📋 Входни данни'!E36,0)</f>
        <v>1632000</v>
      </c>
      <c r="F34" s="21" t="n">
        <f aca="false">C34+D34+E34</f>
        <v>2710000</v>
      </c>
    </row>
    <row r="35" customFormat="false" ht="21.75" hidden="false" customHeight="true" outlineLevel="0" collapsed="false">
      <c r="B35" s="5" t="s">
        <v>120</v>
      </c>
      <c r="C35" s="21" t="n">
        <f aca="false">IFERROR(C33-C34,0)</f>
        <v>-1078000</v>
      </c>
      <c r="D35" s="21" t="n">
        <f aca="false">IFERROR(D33-D34,0)</f>
        <v>0</v>
      </c>
      <c r="E35" s="21" t="n">
        <f aca="false">IFERROR(E33-E34,0)</f>
        <v>-1632000</v>
      </c>
      <c r="F35" s="21" t="n">
        <f aca="false">C35+D35+E35</f>
        <v>-2710000</v>
      </c>
    </row>
    <row r="36" customFormat="false" ht="21.75" hidden="false" customHeight="true" outlineLevel="0" collapsed="false">
      <c r="B36" s="5" t="s">
        <v>121</v>
      </c>
      <c r="C36" s="21" t="n">
        <f aca="false">IFERROR(C32-C35,0)</f>
        <v>1198000</v>
      </c>
      <c r="D36" s="21" t="n">
        <f aca="false">IFERROR(D32-D35,0)</f>
        <v>0</v>
      </c>
      <c r="E36" s="21" t="n">
        <f aca="false">IFERROR(E32-E35,0)</f>
        <v>1782000</v>
      </c>
      <c r="F36" s="21" t="n">
        <f aca="false">C36+D36+E36</f>
        <v>2980000</v>
      </c>
    </row>
    <row r="37" customFormat="false" ht="21.75" hidden="false" customHeight="true" outlineLevel="0" collapsed="false">
      <c r="B37" s="5" t="s">
        <v>122</v>
      </c>
      <c r="C37" s="21" t="n">
        <f aca="false">IFERROR(MAX(C36,0)*'📋 Входни данни'!$C$42,0)</f>
        <v>11980000</v>
      </c>
      <c r="D37" s="21" t="n">
        <f aca="false">IFERROR(MAX(D36,0)*'📋 Входни данни'!$C$42,0)</f>
        <v>0</v>
      </c>
      <c r="E37" s="21" t="n">
        <f aca="false">IFERROR(MAX(E36,0)*'📋 Входни данни'!$C$42,0)</f>
        <v>17820000</v>
      </c>
      <c r="F37" s="21" t="n">
        <f aca="false">C37+D37+E37</f>
        <v>29800000</v>
      </c>
    </row>
    <row r="38" customFormat="false" ht="21.75" hidden="false" customHeight="true" outlineLevel="0" collapsed="false">
      <c r="B38" s="5" t="s">
        <v>123</v>
      </c>
      <c r="C38" s="21" t="n">
        <f aca="false">IFERROR(C36-C37,0)</f>
        <v>-10782000</v>
      </c>
      <c r="D38" s="21" t="n">
        <f aca="false">IFERROR(D36-D37,0)</f>
        <v>0</v>
      </c>
      <c r="E38" s="21" t="n">
        <f aca="false">IFERROR(E36-E37,0)</f>
        <v>-16038000</v>
      </c>
      <c r="F38" s="21" t="n">
        <f aca="false">C38+D38+E38</f>
        <v>-26820000</v>
      </c>
    </row>
    <row r="39" customFormat="false" ht="21.75" hidden="false" customHeight="true" outlineLevel="0" collapsed="false">
      <c r="B39" s="5" t="s">
        <v>124</v>
      </c>
      <c r="C39" s="21" t="n">
        <f aca="false">IFERROR(MAX(C38,0)*'📋 Входни данни'!$C$43,0)</f>
        <v>0</v>
      </c>
      <c r="D39" s="21" t="n">
        <f aca="false">IFERROR(MAX(D38,0)*'📋 Входни данни'!$C$43,0)</f>
        <v>0</v>
      </c>
      <c r="E39" s="21" t="n">
        <f aca="false">IFERROR(MAX(E38,0)*'📋 Входни данни'!$C$43,0)</f>
        <v>0</v>
      </c>
      <c r="F39" s="21" t="n">
        <f aca="false">C39+D39+E39</f>
        <v>0</v>
      </c>
    </row>
    <row r="40" customFormat="false" ht="21.75" hidden="false" customHeight="true" outlineLevel="0" collapsed="false">
      <c r="B40" s="31" t="s">
        <v>125</v>
      </c>
      <c r="C40" s="40" t="n">
        <f aca="false">IFERROR(C38-C39,0)</f>
        <v>-10782000</v>
      </c>
      <c r="D40" s="40" t="n">
        <f aca="false">IFERROR(D38-D39,0)</f>
        <v>0</v>
      </c>
      <c r="E40" s="40" t="n">
        <f aca="false">IFERROR(E38-E39,0)</f>
        <v>-16038000</v>
      </c>
      <c r="F40" s="21" t="n">
        <f aca="false">C40+D40+E40</f>
        <v>-26820000</v>
      </c>
    </row>
  </sheetData>
  <mergeCells count="10">
    <mergeCell ref="A1:G1"/>
    <mergeCell ref="A2:G2"/>
    <mergeCell ref="A5:G5"/>
    <mergeCell ref="D6:G6"/>
    <mergeCell ref="D7:G7"/>
    <mergeCell ref="D8:G8"/>
    <mergeCell ref="D9:G9"/>
    <mergeCell ref="D10:G10"/>
    <mergeCell ref="A12:G12"/>
    <mergeCell ref="A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6" min="3" style="1" width="16"/>
    <col collapsed="false" customWidth="true" hidden="false" outlineLevel="0" max="7" min="7" style="1" width="3"/>
  </cols>
  <sheetData>
    <row r="1" customFormat="false" ht="39.75" hidden="false" customHeight="true" outlineLevel="0" collapsed="false">
      <c r="A1" s="41" t="s">
        <v>126</v>
      </c>
      <c r="B1" s="41"/>
      <c r="C1" s="41"/>
      <c r="D1" s="41"/>
      <c r="E1" s="41"/>
      <c r="F1" s="41"/>
      <c r="G1" s="41"/>
    </row>
    <row r="2" customFormat="false" ht="18" hidden="false" customHeight="true" outlineLevel="0" collapsed="false">
      <c r="A2" s="3" t="s">
        <v>127</v>
      </c>
      <c r="B2" s="3"/>
      <c r="C2" s="3"/>
      <c r="D2" s="3"/>
      <c r="E2" s="3"/>
      <c r="F2" s="3"/>
      <c r="G2" s="3"/>
    </row>
    <row r="3" customFormat="false" ht="6" hidden="false" customHeight="true" outlineLevel="0" collapsed="false"/>
    <row r="4" customFormat="false" ht="37.5" hidden="false" customHeight="true" outlineLevel="0" collapsed="false">
      <c r="B4" s="42" t="str">
        <f aca="false">IF('👤 Физическо лице'!F12&gt;'🏢 ЕООД'!F25,"✅  ФИЗИЧЕСКО ЛИЦЕ е по-изгодно при тези данни — по-висок нетен паричен поток.","✅  ЕООД е по-изгодно при тези данни — по-висок нетен паричен поток след всички разходи.")</f>
        <v>✅  ФИЗИЧЕСКО ЛИЦЕ е по-изгодно при тези данни — по-висок нетен паричен поток.</v>
      </c>
      <c r="C4" s="42"/>
      <c r="D4" s="42"/>
      <c r="E4" s="42"/>
      <c r="F4" s="42"/>
      <c r="G4" s="42"/>
    </row>
    <row r="5" customFormat="false" ht="7.5" hidden="false" customHeight="true" outlineLevel="0" collapsed="false"/>
    <row r="6" customFormat="false" ht="19.5" hidden="false" customHeight="true" outlineLevel="0" collapsed="false">
      <c r="A6" s="4" t="s">
        <v>128</v>
      </c>
      <c r="B6" s="4"/>
      <c r="C6" s="4"/>
      <c r="D6" s="4"/>
      <c r="E6" s="4"/>
      <c r="F6" s="4"/>
      <c r="G6" s="4"/>
    </row>
    <row r="7" customFormat="false" ht="21.75" hidden="false" customHeight="true" outlineLevel="0" collapsed="false">
      <c r="B7" s="43" t="s">
        <v>129</v>
      </c>
      <c r="C7" s="44" t="s">
        <v>130</v>
      </c>
      <c r="D7" s="45" t="s">
        <v>131</v>
      </c>
      <c r="E7" s="43" t="s">
        <v>132</v>
      </c>
      <c r="F7" s="46" t="s">
        <v>133</v>
      </c>
    </row>
    <row r="8" customFormat="false" ht="21.75" hidden="false" customHeight="true" outlineLevel="0" collapsed="false">
      <c r="B8" s="5" t="s">
        <v>134</v>
      </c>
      <c r="C8" s="47" t="n">
        <f aca="false">'👤 Физическо лице'!F13</f>
        <v>0</v>
      </c>
      <c r="D8" s="48" t="n">
        <f aca="false">'🏢 ЕООД'!F26</f>
        <v>0</v>
      </c>
      <c r="E8" s="27" t="n">
        <f aca="false">D8-C8</f>
        <v>0</v>
      </c>
      <c r="F8" s="49" t="str">
        <f aca="false">IF(D8&gt;C8,"🏢 ЕООД","👤 ФЛ")</f>
        <v>👤 ФЛ</v>
      </c>
    </row>
    <row r="9" customFormat="false" ht="21.75" hidden="false" customHeight="true" outlineLevel="0" collapsed="false">
      <c r="B9" s="5" t="s">
        <v>135</v>
      </c>
      <c r="C9" s="47" t="n">
        <f aca="false">'👤 Физическо лице'!F12</f>
        <v>750521</v>
      </c>
      <c r="D9" s="48" t="n">
        <f aca="false">'🏢 ЕООД'!F25</f>
        <v>-4144.5</v>
      </c>
      <c r="E9" s="27" t="n">
        <f aca="false">D9-C9</f>
        <v>-754665.5</v>
      </c>
      <c r="F9" s="49" t="str">
        <f aca="false">IF(D9&gt;C9,"🏢 ЕООД","👤 ФЛ")</f>
        <v>👤 ФЛ</v>
      </c>
    </row>
    <row r="10" customFormat="false" ht="21.75" hidden="false" customHeight="true" outlineLevel="0" collapsed="false">
      <c r="B10" s="5" t="s">
        <v>86</v>
      </c>
      <c r="C10" s="25" t="n">
        <f aca="false">IFERROR('👤 Физическо лице'!F14,0)</f>
        <v>0</v>
      </c>
      <c r="D10" s="50" t="n">
        <f aca="false">IFERROR('🏢 ЕООД'!F27,0)</f>
        <v>0</v>
      </c>
      <c r="E10" s="51" t="n">
        <f aca="false">D10-C10</f>
        <v>0</v>
      </c>
      <c r="F10" s="49" t="str">
        <f aca="false">IF(D10&gt;C10,"🏢 ЕООД","👤 ФЛ")</f>
        <v>👤 ФЛ</v>
      </c>
    </row>
    <row r="11" customFormat="false" ht="21.75" hidden="false" customHeight="true" outlineLevel="0" collapsed="false">
      <c r="B11" s="5" t="s">
        <v>87</v>
      </c>
      <c r="C11" s="25" t="n">
        <f aca="false">IFERROR('👤 Физическо лице'!F15,0)</f>
        <v>0</v>
      </c>
      <c r="D11" s="50" t="n">
        <f aca="false">IFERROR('🏢 ЕООД'!F28,0)</f>
        <v>0</v>
      </c>
      <c r="E11" s="51" t="n">
        <f aca="false">D11-C11</f>
        <v>0</v>
      </c>
      <c r="F11" s="49" t="str">
        <f aca="false">IF(D11&gt;C11,"🏢 ЕООД","👤 ФЛ")</f>
        <v>👤 ФЛ</v>
      </c>
    </row>
    <row r="12" customFormat="false" ht="21.75" hidden="false" customHeight="true" outlineLevel="0" collapsed="false">
      <c r="B12" s="5" t="s">
        <v>136</v>
      </c>
      <c r="C12" s="47" t="n">
        <f aca="false">IFERROR('👤 Физическо лице'!F10,0)</f>
        <v>848232</v>
      </c>
      <c r="D12" s="48" t="n">
        <f aca="false">IFERROR('🏢 ЕООД'!F20+'🏢 ЕООД'!F22,0)</f>
        <v>-0</v>
      </c>
      <c r="E12" s="27" t="n">
        <f aca="false">D12-C12</f>
        <v>-848232</v>
      </c>
      <c r="F12" s="49" t="str">
        <f aca="false">IF(D12&gt;C12,"🏢 ЕООД","👤 ФЛ")</f>
        <v>👤 ФЛ</v>
      </c>
    </row>
    <row r="13" customFormat="false" ht="21.75" hidden="false" customHeight="true" outlineLevel="0" collapsed="false">
      <c r="B13" s="5" t="s">
        <v>137</v>
      </c>
      <c r="C13" s="47" t="n">
        <f aca="false">0</f>
        <v>0</v>
      </c>
      <c r="D13" s="48" t="n">
        <f aca="false">-'🏢 ЕООД'!$C$10</f>
        <v>-2763</v>
      </c>
      <c r="E13" s="27" t="n">
        <f aca="false">D13-C13</f>
        <v>-2763</v>
      </c>
      <c r="F13" s="49" t="str">
        <f aca="false">IF(ABS(D13)&lt;ABS(C13),"🏢 ЕООД","👤 ФЛ")</f>
        <v>👤 ФЛ</v>
      </c>
    </row>
    <row r="14" customFormat="false" ht="21.75" hidden="false" customHeight="true" outlineLevel="0" collapsed="false">
      <c r="B14" s="5" t="s">
        <v>138</v>
      </c>
      <c r="C14" s="25" t="n">
        <f aca="false">IFERROR(ABS('👤 Физическо лице'!F10)/'👤 Физическо лице'!F9,0)</f>
        <v>-9</v>
      </c>
      <c r="D14" s="50" t="n">
        <f aca="false">IFERROR(ABS('🏢 ЕООД'!F20+ABS('🏢 ЕООД'!F22))/'🏢 ЕООД'!F15,0)</f>
        <v>-0</v>
      </c>
      <c r="E14" s="51" t="n">
        <f aca="false">D14-C14</f>
        <v>9</v>
      </c>
      <c r="F14" s="49" t="str">
        <f aca="false">IF(D14&gt;C14,"🏢 ЕООД","👤 ФЛ")</f>
        <v>🏢 ЕООД</v>
      </c>
    </row>
    <row r="15" customFormat="false" ht="7.5" hidden="false" customHeight="true" outlineLevel="0" collapsed="false"/>
    <row r="16" customFormat="false" ht="19.5" hidden="false" customHeight="true" outlineLevel="0" collapsed="false">
      <c r="A16" s="4" t="s">
        <v>139</v>
      </c>
      <c r="B16" s="4"/>
      <c r="C16" s="4"/>
      <c r="D16" s="4"/>
      <c r="E16" s="4"/>
      <c r="F16" s="4"/>
      <c r="G16" s="4"/>
    </row>
    <row r="17" customFormat="false" ht="21.75" hidden="false" customHeight="true" outlineLevel="0" collapsed="false">
      <c r="B17" s="43" t="s">
        <v>129</v>
      </c>
      <c r="C17" s="44" t="s">
        <v>130</v>
      </c>
      <c r="D17" s="45" t="s">
        <v>131</v>
      </c>
      <c r="E17" s="43" t="s">
        <v>140</v>
      </c>
      <c r="F17" s="46" t="s">
        <v>133</v>
      </c>
    </row>
    <row r="18" customFormat="false" ht="21.75" hidden="false" customHeight="true" outlineLevel="0" collapsed="false">
      <c r="B18" s="5" t="s">
        <v>141</v>
      </c>
      <c r="C18" s="47" t="n">
        <f aca="false">'👤 Физическо лице'!F26</f>
        <v>270000</v>
      </c>
      <c r="D18" s="48" t="n">
        <f aca="false">'🏢 ЕООД'!F40</f>
        <v>-26820000</v>
      </c>
      <c r="E18" s="27" t="n">
        <f aca="false">D18-C18</f>
        <v>-27090000</v>
      </c>
      <c r="F18" s="49" t="str">
        <f aca="false">IF(D18&gt;C18,"🏢 ЕООД","👤 ФЛ")</f>
        <v>👤 ФЛ</v>
      </c>
    </row>
    <row r="19" customFormat="false" ht="21.75" hidden="false" customHeight="true" outlineLevel="0" collapsed="false">
      <c r="B19" s="5" t="s">
        <v>142</v>
      </c>
      <c r="C19" s="47" t="n">
        <f aca="false">'👤 Физическо лице'!F25</f>
        <v>0</v>
      </c>
      <c r="D19" s="48" t="n">
        <f aca="false">'🏢 ЕООД'!F37+'🏢 ЕООД'!F39</f>
        <v>29800000</v>
      </c>
      <c r="E19" s="27" t="n">
        <f aca="false">D19-C19</f>
        <v>29800000</v>
      </c>
      <c r="F19" s="49" t="str">
        <f aca="false">IF(D19&gt;C19,"🏢 ЕООД","👤 ФЛ")</f>
        <v>🏢 ЕООД</v>
      </c>
    </row>
    <row r="20" customFormat="false" ht="7.5" hidden="false" customHeight="true" outlineLevel="0" collapsed="false"/>
    <row r="21" customFormat="false" ht="19.5" hidden="false" customHeight="true" outlineLevel="0" collapsed="false">
      <c r="A21" s="4" t="s">
        <v>143</v>
      </c>
      <c r="B21" s="4"/>
      <c r="C21" s="4"/>
      <c r="D21" s="4"/>
      <c r="E21" s="4"/>
      <c r="F21" s="4"/>
      <c r="G21" s="4"/>
    </row>
    <row r="22" customFormat="false" ht="21.75" hidden="false" customHeight="true" outlineLevel="0" collapsed="false">
      <c r="B22" s="10" t="s">
        <v>144</v>
      </c>
      <c r="D22" s="52" t="s">
        <v>130</v>
      </c>
      <c r="E22" s="52"/>
      <c r="F22" s="53" t="s">
        <v>131</v>
      </c>
      <c r="G22" s="53"/>
    </row>
    <row r="23" customFormat="false" ht="21.75" hidden="false" customHeight="true" outlineLevel="0" collapsed="false">
      <c r="B23" s="54" t="s">
        <v>145</v>
      </c>
      <c r="C23" s="55" t="s">
        <v>146</v>
      </c>
      <c r="D23" s="55"/>
      <c r="E23" s="56" t="s">
        <v>147</v>
      </c>
      <c r="F23" s="56"/>
    </row>
    <row r="24" customFormat="false" ht="21.75" hidden="false" customHeight="true" outlineLevel="0" collapsed="false">
      <c r="B24" s="54" t="s">
        <v>148</v>
      </c>
      <c r="C24" s="55" t="s">
        <v>149</v>
      </c>
      <c r="D24" s="55"/>
      <c r="E24" s="56" t="s">
        <v>150</v>
      </c>
      <c r="F24" s="56"/>
    </row>
    <row r="25" customFormat="false" ht="21.75" hidden="false" customHeight="true" outlineLevel="0" collapsed="false">
      <c r="B25" s="54" t="s">
        <v>151</v>
      </c>
      <c r="C25" s="55" t="s">
        <v>152</v>
      </c>
      <c r="D25" s="55"/>
      <c r="E25" s="56" t="s">
        <v>153</v>
      </c>
      <c r="F25" s="56"/>
    </row>
    <row r="26" customFormat="false" ht="21.75" hidden="false" customHeight="true" outlineLevel="0" collapsed="false">
      <c r="B26" s="54" t="s">
        <v>154</v>
      </c>
      <c r="C26" s="55" t="s">
        <v>155</v>
      </c>
      <c r="D26" s="55"/>
      <c r="E26" s="56" t="s">
        <v>156</v>
      </c>
      <c r="F26" s="56"/>
    </row>
    <row r="27" customFormat="false" ht="21.75" hidden="false" customHeight="true" outlineLevel="0" collapsed="false">
      <c r="B27" s="54" t="s">
        <v>157</v>
      </c>
      <c r="C27" s="55" t="s">
        <v>158</v>
      </c>
      <c r="D27" s="55"/>
      <c r="E27" s="56" t="s">
        <v>159</v>
      </c>
      <c r="F27" s="56"/>
    </row>
    <row r="28" customFormat="false" ht="21.75" hidden="false" customHeight="true" outlineLevel="0" collapsed="false">
      <c r="B28" s="54" t="s">
        <v>160</v>
      </c>
      <c r="C28" s="55" t="s">
        <v>161</v>
      </c>
      <c r="D28" s="55"/>
      <c r="E28" s="56" t="s">
        <v>162</v>
      </c>
      <c r="F28" s="56"/>
    </row>
    <row r="29" customFormat="false" ht="21.75" hidden="false" customHeight="true" outlineLevel="0" collapsed="false">
      <c r="B29" s="54" t="s">
        <v>163</v>
      </c>
      <c r="C29" s="55" t="s">
        <v>164</v>
      </c>
      <c r="D29" s="55"/>
      <c r="E29" s="56" t="s">
        <v>165</v>
      </c>
      <c r="F29" s="56"/>
    </row>
    <row r="30" customFormat="false" ht="21.75" hidden="false" customHeight="true" outlineLevel="0" collapsed="false">
      <c r="B30" s="54" t="s">
        <v>166</v>
      </c>
      <c r="C30" s="55" t="s">
        <v>167</v>
      </c>
      <c r="D30" s="55"/>
      <c r="E30" s="56" t="s">
        <v>168</v>
      </c>
      <c r="F30" s="56"/>
    </row>
    <row r="31" customFormat="false" ht="21.75" hidden="false" customHeight="true" outlineLevel="0" collapsed="false">
      <c r="B31" s="54" t="s">
        <v>169</v>
      </c>
      <c r="C31" s="55" t="s">
        <v>170</v>
      </c>
      <c r="D31" s="55"/>
      <c r="E31" s="56" t="s">
        <v>170</v>
      </c>
      <c r="F31" s="56"/>
    </row>
    <row r="32" customFormat="false" ht="21.75" hidden="false" customHeight="true" outlineLevel="0" collapsed="false">
      <c r="B32" s="54" t="s">
        <v>171</v>
      </c>
      <c r="C32" s="55" t="s">
        <v>172</v>
      </c>
      <c r="D32" s="55"/>
      <c r="E32" s="56" t="s">
        <v>173</v>
      </c>
      <c r="F32" s="56"/>
    </row>
    <row r="33" customFormat="false" ht="7.5" hidden="false" customHeight="true" outlineLevel="0" collapsed="false"/>
    <row r="34" customFormat="false" ht="19.5" hidden="false" customHeight="true" outlineLevel="0" collapsed="false">
      <c r="A34" s="4" t="s">
        <v>174</v>
      </c>
      <c r="B34" s="4"/>
      <c r="C34" s="4"/>
      <c r="D34" s="4"/>
      <c r="E34" s="4"/>
      <c r="F34" s="4"/>
      <c r="G34" s="4"/>
    </row>
    <row r="35" customFormat="false" ht="24" hidden="false" customHeight="true" outlineLevel="0" collapsed="false">
      <c r="B35" s="22" t="s">
        <v>175</v>
      </c>
      <c r="C35" s="57" t="n">
        <f aca="false">IFERROR('🏢 ЕООД'!F25-'👤 Физическо лице'!F12,0)</f>
        <v>-754665.5</v>
      </c>
      <c r="D35" s="58" t="str">
        <f aca="false">IF('🏢 ЕООД'!F25&gt;'👤 Физическо лице'!F12,"🏢 ЕООД генерира повече нетен паричен поток на година.","👤 ФЛ генерира повече нетен паричен поток на година.")</f>
        <v>👤 ФЛ генерира повече нетен паричен поток на година.</v>
      </c>
      <c r="E35" s="58"/>
      <c r="F35" s="58"/>
      <c r="G35" s="58"/>
    </row>
    <row r="36" customFormat="false" ht="24" hidden="false" customHeight="true" outlineLevel="0" collapsed="false">
      <c r="B36" s="22" t="s">
        <v>176</v>
      </c>
      <c r="C36" s="59" t="n">
        <f aca="false">IFERROR(IF(('🏢 ЕООД'!F25-'👤 Физическо лице'!F12)&gt;0,'🏢 ЕООД'!$C$10/('🏢 ЕООД'!F25-'👤 Физическо лице'!F12),9999),0)</f>
        <v>9999</v>
      </c>
      <c r="D36" s="58" t="str">
        <f aca="false">IF(C36&lt;5,"⚡ Под 5 г. — ЕООД се изплаща бързо.",IF(C36&lt;9999,"📊 Над 5 г. — направете по-задълбочен анализ.","⚠️ ЕООД не генерира повече от ФЛ при тези данни."))</f>
        <v>⚠️ ЕООД не генерира повече от ФЛ при тези данни.</v>
      </c>
      <c r="E36" s="58"/>
      <c r="F36" s="58"/>
      <c r="G36" s="58"/>
    </row>
    <row r="37" customFormat="false" ht="7.5" hidden="false" customHeight="true" outlineLevel="0" collapsed="false"/>
    <row r="38" customFormat="false" ht="36" hidden="false" customHeight="true" outlineLevel="0" collapsed="false">
      <c r="B38" s="17" t="s">
        <v>177</v>
      </c>
      <c r="C38" s="17"/>
      <c r="D38" s="17"/>
      <c r="E38" s="17"/>
      <c r="F38" s="17"/>
      <c r="G38" s="17"/>
    </row>
  </sheetData>
  <mergeCells count="32">
    <mergeCell ref="A1:G1"/>
    <mergeCell ref="A2:G2"/>
    <mergeCell ref="B4:G4"/>
    <mergeCell ref="A6:G6"/>
    <mergeCell ref="A16:G16"/>
    <mergeCell ref="A21:G21"/>
    <mergeCell ref="D22:E22"/>
    <mergeCell ref="F22:G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A34:G34"/>
    <mergeCell ref="D35:G35"/>
    <mergeCell ref="D36:G36"/>
    <mergeCell ref="B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2026-04-28T08:45:04Z</dcterms:created>
  <dc:creator>openpyxl</dc:creator>
  <dc:description/>
  <dc:language>en-US</dc:language>
  <cp:lastModifiedBy/>
  <dcterms:modified xsi:type="dcterms:W3CDTF">2026-04-28T08:45:35Z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