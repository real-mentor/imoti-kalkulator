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Паспорт на имота" sheetId="1" state="visible" r:id="rId3"/>
    <sheet name="👤 Наематели" sheetId="2" state="visible" r:id="rId4"/>
    <sheet name="💶 Плащания наем" sheetId="3" state="visible" r:id="rId5"/>
    <sheet name="📋 Разходи и сметки" sheetId="4" state="visible" r:id="rId6"/>
    <sheet name="🔨 Ремонти" sheetId="5" state="visible" r:id="rId7"/>
    <sheet name="🛋️ Обзавеждане" sheetId="6" state="visible" r:id="rId8"/>
    <sheet name="📊 Финансово резюме" sheetId="7" state="visible" r:id="rId9"/>
    <sheet name="📂 Документи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<sst xmlns="http://schemas.openxmlformats.org/spreadsheetml/2006/main" count="340" uniqueCount="283">
  <si>
    <t xml:space="preserve">🏠  ПАСПОРТ НА ИМОТА  —  Пълни данни и характеристики</t>
  </si>
  <si>
    <t xml:space="preserve">Real Mentor  |  Управление на недвижим имот</t>
  </si>
  <si>
    <t xml:space="preserve">А.  ОСНОВНИ ДАННИ ЗА ИМОТА</t>
  </si>
  <si>
    <t xml:space="preserve">Адрес на имота</t>
  </si>
  <si>
    <t xml:space="preserve">Град / Квартал / Улица / Блок / Ап.</t>
  </si>
  <si>
    <t xml:space="preserve">Тип имот</t>
  </si>
  <si>
    <t xml:space="preserve">Апартамент / Къща / Студио / Гараж</t>
  </si>
  <si>
    <t xml:space="preserve">Жилищна площ (кв.м)</t>
  </si>
  <si>
    <t xml:space="preserve">По нотариален акт</t>
  </si>
  <si>
    <t xml:space="preserve">Застроена площ (кв.м)</t>
  </si>
  <si>
    <t xml:space="preserve">Вкл. дебелина на стените</t>
  </si>
  <si>
    <t xml:space="preserve">Етаж</t>
  </si>
  <si>
    <t xml:space="preserve">Напр. 4 от 10</t>
  </si>
  <si>
    <t xml:space="preserve">Изложение</t>
  </si>
  <si>
    <t xml:space="preserve">Юг / Север / Изток / Запад / Комб.</t>
  </si>
  <si>
    <t xml:space="preserve">Вид конструкция</t>
  </si>
  <si>
    <t xml:space="preserve">Панел / Тухла / ЕПК / Нова сграда</t>
  </si>
  <si>
    <t xml:space="preserve">Година на строеж</t>
  </si>
  <si>
    <t xml:space="preserve">Кадастрален идентификатор</t>
  </si>
  <si>
    <t xml:space="preserve">По КРНИ — задължителен</t>
  </si>
  <si>
    <t xml:space="preserve">Нотариален акт №</t>
  </si>
  <si>
    <t xml:space="preserve">Том / Рег. / Дело</t>
  </si>
  <si>
    <t xml:space="preserve">Нотариус</t>
  </si>
  <si>
    <t xml:space="preserve">Имe и нотариален район</t>
  </si>
  <si>
    <t xml:space="preserve">Имотен регистър</t>
  </si>
  <si>
    <t xml:space="preserve">Служба по вписванията</t>
  </si>
  <si>
    <t xml:space="preserve">Б.  ПРИДОБИВАНЕ  —  Финансови данни</t>
  </si>
  <si>
    <t xml:space="preserve">Дата на придобиване</t>
  </si>
  <si>
    <t xml:space="preserve">Дата на нотариален акт</t>
  </si>
  <si>
    <t xml:space="preserve">Покупна цена (лв.)</t>
  </si>
  <si>
    <t xml:space="preserve">Покупна цена (EUR)</t>
  </si>
  <si>
    <t xml:space="preserve">По фиксинга БНБ 1.95583</t>
  </si>
  <si>
    <t xml:space="preserve">Нотариални такси и данъци (лв.)</t>
  </si>
  <si>
    <t xml:space="preserve">Местен данък + нотариус + вписване</t>
  </si>
  <si>
    <t xml:space="preserve">Брокерска комисионна (лв.)</t>
  </si>
  <si>
    <t xml:space="preserve">Ако е платена</t>
  </si>
  <si>
    <t xml:space="preserve">Ремонт при придобиване (лв.)</t>
  </si>
  <si>
    <t xml:space="preserve">Вж. лист Ремонти</t>
  </si>
  <si>
    <t xml:space="preserve">Обзавеждане при придобиване (лв.)</t>
  </si>
  <si>
    <t xml:space="preserve">Вж. лист Обзавеждане</t>
  </si>
  <si>
    <t xml:space="preserve">ОБЩА ИНВЕСТИЦИЯ (лв.)</t>
  </si>
  <si>
    <t xml:space="preserve">Автоматично</t>
  </si>
  <si>
    <t xml:space="preserve">ОБЩА ИНВЕСТИЦИЯ (EUR)</t>
  </si>
  <si>
    <t xml:space="preserve">По фиксинга БНБ</t>
  </si>
  <si>
    <t xml:space="preserve">В.  ТЕХНИЧЕСКИ ХАРАКТЕРИСТИКИ</t>
  </si>
  <si>
    <t xml:space="preserve">Отопление</t>
  </si>
  <si>
    <t xml:space="preserve">ЦО / Климатик / Печка / ТЛ / Газ</t>
  </si>
  <si>
    <t xml:space="preserve">Топла вода</t>
  </si>
  <si>
    <t xml:space="preserve">Бойлер / ЦО / Слънчев колектор</t>
  </si>
  <si>
    <t xml:space="preserve">Климатизация</t>
  </si>
  <si>
    <t xml:space="preserve">Марка, модел, брой тела</t>
  </si>
  <si>
    <t xml:space="preserve">Дограма</t>
  </si>
  <si>
    <t xml:space="preserve">PVC / Алуминий / Дърво  |  Двойно/Тройно стъкло</t>
  </si>
  <si>
    <t xml:space="preserve">Подови настилки</t>
  </si>
  <si>
    <t xml:space="preserve">Паркет / Ламинат / Теракот / LVP</t>
  </si>
  <si>
    <t xml:space="preserve">Интернет оператор</t>
  </si>
  <si>
    <t xml:space="preserve">Доставчик + скорост</t>
  </si>
  <si>
    <t xml:space="preserve">ТВ / Кабелен</t>
  </si>
  <si>
    <t xml:space="preserve">Оператор</t>
  </si>
  <si>
    <t xml:space="preserve">Гараж / Паркинг</t>
  </si>
  <si>
    <t xml:space="preserve">Номер / Закрит / Открит</t>
  </si>
  <si>
    <t xml:space="preserve">Мазе</t>
  </si>
  <si>
    <t xml:space="preserve">Номер / кв.м</t>
  </si>
  <si>
    <t xml:space="preserve">Стан/Перилня</t>
  </si>
  <si>
    <t xml:space="preserve">Достъп до перилня в сградата</t>
  </si>
  <si>
    <t xml:space="preserve">Вход / Код</t>
  </si>
  <si>
    <t xml:space="preserve">Входен код на сграда</t>
  </si>
  <si>
    <t xml:space="preserve">Домофон</t>
  </si>
  <si>
    <t xml:space="preserve">Номер и системa</t>
  </si>
  <si>
    <t xml:space="preserve">Г.  ПАРТИДИ, АБОНАТНИ НОМЕРА И ДОСТАВЧИЦИ  —  Всички услуги</t>
  </si>
  <si>
    <t xml:space="preserve">Услуга</t>
  </si>
  <si>
    <t xml:space="preserve">Абон. / Партиден №</t>
  </si>
  <si>
    <t xml:space="preserve">Доставчик</t>
  </si>
  <si>
    <t xml:space="preserve">Клиентски №</t>
  </si>
  <si>
    <t xml:space="preserve">Обслужващ офис / Телефон</t>
  </si>
  <si>
    <t xml:space="preserve">Бележки</t>
  </si>
  <si>
    <t xml:space="preserve">⚡ Електроенергия</t>
  </si>
  <si>
    <t xml:space="preserve">ЧЕЗ / ЕВН / ЕНЕРГО-ПРО</t>
  </si>
  <si>
    <t xml:space="preserve">Брой фаза: 1F / 3F</t>
  </si>
  <si>
    <t xml:space="preserve">💧 Студена вода</t>
  </si>
  <si>
    <t xml:space="preserve">ВиК / Водснабдяване</t>
  </si>
  <si>
    <t xml:space="preserve">Размер на водомер</t>
  </si>
  <si>
    <t xml:space="preserve">🌡️ Топла вода (ЦО)</t>
  </si>
  <si>
    <t xml:space="preserve">Топлофикация / Самост.</t>
  </si>
  <si>
    <t xml:space="preserve">🔥 Природен газ</t>
  </si>
  <si>
    <t xml:space="preserve">Булгаргаз / Регионален</t>
  </si>
  <si>
    <t xml:space="preserve">Тип консуматор</t>
  </si>
  <si>
    <t xml:space="preserve">🏢 ЕСС</t>
  </si>
  <si>
    <t xml:space="preserve">Управителен съвет / Фирма</t>
  </si>
  <si>
    <t xml:space="preserve">Месечна вноска</t>
  </si>
  <si>
    <t xml:space="preserve">🛗 Асансьор</t>
  </si>
  <si>
    <t xml:space="preserve">Компания за поддръжка</t>
  </si>
  <si>
    <t xml:space="preserve">Годишна такса</t>
  </si>
  <si>
    <t xml:space="preserve">📡 Интернет</t>
  </si>
  <si>
    <t xml:space="preserve">А1 / Виваком / Нет1</t>
  </si>
  <si>
    <t xml:space="preserve">Договор до:</t>
  </si>
  <si>
    <t xml:space="preserve">📺 Кабелна ТВ</t>
  </si>
  <si>
    <t xml:space="preserve">📱 Домофон</t>
  </si>
  <si>
    <t xml:space="preserve">♻️ Сметосъбиране</t>
  </si>
  <si>
    <t xml:space="preserve">Общинска такса</t>
  </si>
  <si>
    <t xml:space="preserve">Данъчна оценка</t>
  </si>
  <si>
    <t xml:space="preserve">🏠 Данък имот</t>
  </si>
  <si>
    <t xml:space="preserve">Общинска администрация</t>
  </si>
  <si>
    <t xml:space="preserve">Платим до 31.03</t>
  </si>
  <si>
    <t xml:space="preserve">👤  НАЕМАТЕЛИ  —  Текущи и минали договори</t>
  </si>
  <si>
    <t xml:space="preserve">Попълнете данните за всеки наемател — жълтите клетки</t>
  </si>
  <si>
    <t xml:space="preserve">А.  ТЕКУЩ НАЕМАТЕЛ</t>
  </si>
  <si>
    <t xml:space="preserve">Три имена на наемателя</t>
  </si>
  <si>
    <t xml:space="preserve">ЕГН / Лична карта №</t>
  </si>
  <si>
    <t xml:space="preserve">Телефон</t>
  </si>
  <si>
    <t xml:space="preserve">Имейл</t>
  </si>
  <si>
    <t xml:space="preserve">Постоянен адрес</t>
  </si>
  <si>
    <t xml:space="preserve">Работодател / Фирма</t>
  </si>
  <si>
    <t xml:space="preserve">Или студент / пенсионер</t>
  </si>
  <si>
    <t xml:space="preserve">Контакт при спешност</t>
  </si>
  <si>
    <t xml:space="preserve">Имe + Телефон</t>
  </si>
  <si>
    <t xml:space="preserve">Начало на договора</t>
  </si>
  <si>
    <t xml:space="preserve">дата</t>
  </si>
  <si>
    <t xml:space="preserve">Край на договора</t>
  </si>
  <si>
    <t xml:space="preserve">Месечен наем (EUR)</t>
  </si>
  <si>
    <t xml:space="preserve">Месечен наем (лв.)</t>
  </si>
  <si>
    <t xml:space="preserve">по фиксинга БНБ</t>
  </si>
  <si>
    <t xml:space="preserve">Ден на плащане</t>
  </si>
  <si>
    <t xml:space="preserve">до кое число на месеца</t>
  </si>
  <si>
    <t xml:space="preserve">IBAN на наемодателя</t>
  </si>
  <si>
    <t xml:space="preserve">Депозит платен — сума (EUR)</t>
  </si>
  <si>
    <t xml:space="preserve">Депозит платен — дата</t>
  </si>
  <si>
    <t xml:space="preserve">Депозит върнат — сума</t>
  </si>
  <si>
    <t xml:space="preserve">Депозит върнат — дата</t>
  </si>
  <si>
    <t xml:space="preserve">Брой живеещи лица</t>
  </si>
  <si>
    <t xml:space="preserve">Домашни любимци</t>
  </si>
  <si>
    <t xml:space="preserve">Не</t>
  </si>
  <si>
    <t xml:space="preserve">Да / Не / Вид</t>
  </si>
  <si>
    <t xml:space="preserve">Нотариална заверка</t>
  </si>
  <si>
    <t xml:space="preserve">Да / Не</t>
  </si>
  <si>
    <t xml:space="preserve">Застраховка на наемателя</t>
  </si>
  <si>
    <t xml:space="preserve">Б.  ИСТОРИЯ НА НАЕМАТЕЛИТЕ  —  Хронология</t>
  </si>
  <si>
    <t xml:space="preserve">№</t>
  </si>
  <si>
    <t xml:space="preserve">Наемател</t>
  </si>
  <si>
    <t xml:space="preserve">Начало</t>
  </si>
  <si>
    <t xml:space="preserve">Край</t>
  </si>
  <si>
    <t xml:space="preserve">Мес. наем (EUR)</t>
  </si>
  <si>
    <t xml:space="preserve">Депозит (EUR)</t>
  </si>
  <si>
    <t xml:space="preserve">Причина напускане</t>
  </si>
  <si>
    <t xml:space="preserve">💶  ПЛАЩАНИЯ НА НАЕМ  —  Хронологичен регистър</t>
  </si>
  <si>
    <t xml:space="preserve">Отбелязвайте всяко плащане — автоматично се изчисляват просрочия</t>
  </si>
  <si>
    <t xml:space="preserve">Общо начислено (EUR)</t>
  </si>
  <si>
    <t xml:space="preserve">Общо получено (EUR)</t>
  </si>
  <si>
    <t xml:space="preserve">Разлика (δ EUR)</t>
  </si>
  <si>
    <t xml:space="preserve">Брой записа</t>
  </si>
  <si>
    <t xml:space="preserve">Закъснения (записа)</t>
  </si>
  <si>
    <t xml:space="preserve">Период (мес.)</t>
  </si>
  <si>
    <t xml:space="preserve">Дата
падеж</t>
  </si>
  <si>
    <t xml:space="preserve">Начислено
(EUR)</t>
  </si>
  <si>
    <t xml:space="preserve">Получено?</t>
  </si>
  <si>
    <t xml:space="preserve">Получена
сума (EUR)</t>
  </si>
  <si>
    <t xml:space="preserve">Дата
плащане</t>
  </si>
  <si>
    <t xml:space="preserve">Закъснение
(дни)</t>
  </si>
  <si>
    <t xml:space="preserve">Забележка / Начин</t>
  </si>
  <si>
    <t xml:space="preserve">📋  РАЗХОДИ И СМЕТКИ  —  Всички плащания свързани с имота</t>
  </si>
  <si>
    <t xml:space="preserve">Фиксирани + Променливи + Данъци + ЕСС + Застраховки</t>
  </si>
  <si>
    <t xml:space="preserve">Общо разходи (EUR)</t>
  </si>
  <si>
    <t xml:space="preserve">Фиксирани</t>
  </si>
  <si>
    <t xml:space="preserve">Променливи</t>
  </si>
  <si>
    <t xml:space="preserve">Данъци/Такси</t>
  </si>
  <si>
    <t xml:space="preserve">Ремонти</t>
  </si>
  <si>
    <t xml:space="preserve">Дата</t>
  </si>
  <si>
    <t xml:space="preserve">Описание / Категория</t>
  </si>
  <si>
    <t xml:space="preserve">Сума (EUR)</t>
  </si>
  <si>
    <t xml:space="preserve">Сума (лв.)</t>
  </si>
  <si>
    <t xml:space="preserve">Фактура №</t>
  </si>
  <si>
    <t xml:space="preserve">Плащане</t>
  </si>
  <si>
    <t xml:space="preserve">Категория</t>
  </si>
  <si>
    <t xml:space="preserve">🔨  РЕМОНТИ, ПОПРАВКИ И ПОДОБРЕНИЯ  —  Пълна история</t>
  </si>
  <si>
    <t xml:space="preserve">Всяко вложение в имота — материали, труд и обща стойност</t>
  </si>
  <si>
    <t xml:space="preserve">💰 Общо вложено (EUR)</t>
  </si>
  <si>
    <t xml:space="preserve">🔧 Брой ремонти</t>
  </si>
  <si>
    <t xml:space="preserve">📅 Последен ремонт</t>
  </si>
  <si>
    <t xml:space="preserve">Описание / Вид ремонт</t>
  </si>
  <si>
    <t xml:space="preserve">Изпълнител</t>
  </si>
  <si>
    <t xml:space="preserve">Материали
(EUR)</t>
  </si>
  <si>
    <t xml:space="preserve">Труд
(EUR)</t>
  </si>
  <si>
    <t xml:space="preserve">Общо
(EUR)</t>
  </si>
  <si>
    <t xml:space="preserve">Гаранция до</t>
  </si>
  <si>
    <t xml:space="preserve">Приоритет</t>
  </si>
  <si>
    <t xml:space="preserve">Бележки / Фактури</t>
  </si>
  <si>
    <t xml:space="preserve">🛋️  ОБЗАВЕЖДАНЕ И ИНВЕНТАР  —  Пълен опис</t>
  </si>
  <si>
    <t xml:space="preserve">Всяка мебел, уред и предмет в имота — с дата, цена и гаранция</t>
  </si>
  <si>
    <t xml:space="preserve">Дата
закупено</t>
  </si>
  <si>
    <t xml:space="preserve">Артикул / Описание</t>
  </si>
  <si>
    <t xml:space="preserve">Местонахождение</t>
  </si>
  <si>
    <t xml:space="preserve">Кол.</t>
  </si>
  <si>
    <t xml:space="preserve">Ед. цена
(EUR)</t>
  </si>
  <si>
    <t xml:space="preserve">Обща цена
(EUR)</t>
  </si>
  <si>
    <t xml:space="preserve">Сост.</t>
  </si>
  <si>
    <t xml:space="preserve">Гаранция
до</t>
  </si>
  <si>
    <t xml:space="preserve">Бележки / Марка</t>
  </si>
  <si>
    <t xml:space="preserve">Диван / Ъглов диван</t>
  </si>
  <si>
    <t xml:space="preserve">Хол</t>
  </si>
  <si>
    <t xml:space="preserve">Холна маса</t>
  </si>
  <si>
    <t xml:space="preserve">ТВ</t>
  </si>
  <si>
    <t xml:space="preserve">Шкаф / Скрин</t>
  </si>
  <si>
    <t xml:space="preserve">Климатик</t>
  </si>
  <si>
    <t xml:space="preserve">Легло + матрак</t>
  </si>
  <si>
    <t xml:space="preserve">Спалня</t>
  </si>
  <si>
    <t xml:space="preserve">Гардероб</t>
  </si>
  <si>
    <t xml:space="preserve">Нощни шкафчета</t>
  </si>
  <si>
    <t xml:space="preserve">Хладилник</t>
  </si>
  <si>
    <t xml:space="preserve">Кухня</t>
  </si>
  <si>
    <t xml:space="preserve">Готварска печка / Котлон</t>
  </si>
  <si>
    <t xml:space="preserve">Фурна</t>
  </si>
  <si>
    <t xml:space="preserve">Абсорбатор</t>
  </si>
  <si>
    <t xml:space="preserve">Съдомиялня</t>
  </si>
  <si>
    <t xml:space="preserve">Микровълнова</t>
  </si>
  <si>
    <t xml:space="preserve">Кухненски шкафове</t>
  </si>
  <si>
    <t xml:space="preserve">Бойлер</t>
  </si>
  <si>
    <t xml:space="preserve">Баня</t>
  </si>
  <si>
    <t xml:space="preserve">Пералня</t>
  </si>
  <si>
    <t xml:space="preserve">Сушилня</t>
  </si>
  <si>
    <t xml:space="preserve">Интернет рутер</t>
  </si>
  <si>
    <t xml:space="preserve">Общо</t>
  </si>
  <si>
    <t xml:space="preserve">Прахосмукачка</t>
  </si>
  <si>
    <t xml:space="preserve">🏷️  ОБЩА СТОЙНОСТ НА ОБЗАВЕЖДАНЕТО</t>
  </si>
  <si>
    <t xml:space="preserve">📊  ФИНАНСОВО РЕЗЮМЕ  —  Обобщен преглед на инвестицията</t>
  </si>
  <si>
    <t xml:space="preserve">Автоматично изчислено от данните в другите листове</t>
  </si>
  <si>
    <t xml:space="preserve">А.  ИНВЕСТИЦИЯ</t>
  </si>
  <si>
    <t xml:space="preserve">Д.  ВАЖНИ КОНТАКТИ И БЕЛЕЖКИ</t>
  </si>
  <si>
    <t xml:space="preserve">👨‍🔧 ВиК майстор:</t>
  </si>
  <si>
    <t xml:space="preserve">Ремонт и обзавеждане (EUR)</t>
  </si>
  <si>
    <t xml:space="preserve">⚡ Електротехник:</t>
  </si>
  <si>
    <t xml:space="preserve">Нотариус и такси (EUR)</t>
  </si>
  <si>
    <t xml:space="preserve">🏢 Управител ЕСС:</t>
  </si>
  <si>
    <t xml:space="preserve">⚖️ Адвокат:</t>
  </si>
  <si>
    <t xml:space="preserve">📋 Счетоводител:</t>
  </si>
  <si>
    <t xml:space="preserve">🛡️ Застраховател:</t>
  </si>
  <si>
    <t xml:space="preserve">Б.  ПРИХОДИ (текуща година)</t>
  </si>
  <si>
    <t xml:space="preserve">🏦 Банка / Ипотека:</t>
  </si>
  <si>
    <t xml:space="preserve">Брутен наем (EUR)</t>
  </si>
  <si>
    <t xml:space="preserve">🏛️ Нотариус:</t>
  </si>
  <si>
    <t xml:space="preserve">Депозит платен (EUR)</t>
  </si>
  <si>
    <t xml:space="preserve">📡 Интернет поддръжка:</t>
  </si>
  <si>
    <t xml:space="preserve">Депозит върнат (EUR)</t>
  </si>
  <si>
    <t xml:space="preserve">🚒 Аварии (24ч):</t>
  </si>
  <si>
    <t xml:space="preserve">В.  РАЗХОДИ (текуща година)</t>
  </si>
  <si>
    <t xml:space="preserve">Разходи и сметки (EUR)</t>
  </si>
  <si>
    <t xml:space="preserve">Ремонти (EUR)</t>
  </si>
  <si>
    <t xml:space="preserve">ОБЩО РАЗХОДИ (EUR)</t>
  </si>
  <si>
    <t xml:space="preserve">Г.  НЕТЕН ПАРИЧЕН ПОТОК И ДОХОДНОСТ</t>
  </si>
  <si>
    <t xml:space="preserve">Нетен паричен поток (EUR)</t>
  </si>
  <si>
    <t xml:space="preserve">Разходен коефициент (%)</t>
  </si>
  <si>
    <t xml:space="preserve">Gross Yield (%)</t>
  </si>
  <si>
    <t xml:space="preserve">Net Yield (%)</t>
  </si>
  <si>
    <t xml:space="preserve">📂  ДОКУМЕНТИ И АРХИВ  —  Регистър на всички документи</t>
  </si>
  <si>
    <t xml:space="preserve">Водете пълна документация — при спор имате доказателства</t>
  </si>
  <si>
    <t xml:space="preserve">Вид документ</t>
  </si>
  <si>
    <t xml:space="preserve">Издател / Страна</t>
  </si>
  <si>
    <t xml:space="preserve">Номер / Референция</t>
  </si>
  <si>
    <t xml:space="preserve">Оригинал?</t>
  </si>
  <si>
    <t xml:space="preserve">Местоположение на оригинала</t>
  </si>
  <si>
    <t xml:space="preserve">Нотариален акт</t>
  </si>
  <si>
    <t xml:space="preserve">Да</t>
  </si>
  <si>
    <t xml:space="preserve">Личен архив</t>
  </si>
  <si>
    <t xml:space="preserve">Скица от КРНИ</t>
  </si>
  <si>
    <t xml:space="preserve">АГКК</t>
  </si>
  <si>
    <t xml:space="preserve">Папка 'Данъци'</t>
  </si>
  <si>
    <t xml:space="preserve">Договор за наем — текущ</t>
  </si>
  <si>
    <t xml:space="preserve">Наемодател + Наемател</t>
  </si>
  <si>
    <t xml:space="preserve">Папка 'Договори'</t>
  </si>
  <si>
    <t xml:space="preserve">Приемо-предавателен протокол</t>
  </si>
  <si>
    <t xml:space="preserve">Застрахователна полица имот</t>
  </si>
  <si>
    <t xml:space="preserve">Застраховател</t>
  </si>
  <si>
    <t xml:space="preserve">Папка 'Застраховки'</t>
  </si>
  <si>
    <t xml:space="preserve">ЕСС — протокол ОС</t>
  </si>
  <si>
    <t xml:space="preserve">Управителен съвет</t>
  </si>
  <si>
    <t xml:space="preserve">Папка 'ЕСС'</t>
  </si>
  <si>
    <t xml:space="preserve">Гаранционна карта — котел</t>
  </si>
  <si>
    <t xml:space="preserve">Сервиз</t>
  </si>
  <si>
    <t xml:space="preserve">Фурнадже шкаф</t>
  </si>
  <si>
    <t xml:space="preserve">Гаранционна карта — климатик</t>
  </si>
  <si>
    <t xml:space="preserve">Монтажна фирма</t>
  </si>
  <si>
    <t xml:space="preserve">Договор ел. енергия</t>
  </si>
  <si>
    <t xml:space="preserve">Скенирано</t>
  </si>
  <si>
    <t xml:space="preserve">Договор интернет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</si>
</sst>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&quot; лв.&quot;"/>
    <numFmt numFmtId="167" formatCode="#,##0.00&quot; EUR&quot;"/>
    <numFmt numFmtId="168" formatCode="General"/>
    <numFmt numFmtId="169" formatCode="0"/>
    <numFmt numFmtId="170" formatCode="0.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9A84C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2"/>
      <color rgb="FFC9A84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sz val="10"/>
      <color rgb="FF16A34A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sz val="10"/>
      <color rgb="FFDC2626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2"/>
      <color rgb="FF16A34A"/>
      <name val="Arial"/>
      <family val="0"/>
      <charset val="1"/>
    </font>
    <font>
      <sz val="10"/>
      <color rgb="FFD97706"/>
      <name val="Arial"/>
      <family val="0"/>
      <charset val="1"/>
    </font>
    <font>
      <sz val="10"/>
      <color rgb="FF2563EB"/>
      <name val="Arial"/>
      <family val="0"/>
      <charset val="1"/>
    </font>
    <font>
      <b val="true"/>
      <sz val="10"/>
      <color rgb="FF1E293B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D1B2A"/>
        <bgColor rgb="FF1E293B"/>
      </patternFill>
    </fill>
    <fill>
      <patternFill patternType="solid">
        <fgColor rgb="FF1E293B"/>
        <bgColor rgb="FF0D1B2A"/>
      </patternFill>
    </fill>
    <fill>
      <patternFill patternType="solid">
        <fgColor rgb="FFF8FAFC"/>
        <bgColor rgb="FFF8FBFF"/>
      </patternFill>
    </fill>
    <fill>
      <patternFill patternType="solid">
        <fgColor rgb="FFFFF9C4"/>
        <bgColor rgb="FFFEF3C7"/>
      </patternFill>
    </fill>
    <fill>
      <patternFill patternType="solid">
        <fgColor rgb="FFFEF3C7"/>
        <bgColor rgb="FFFFF9C4"/>
      </patternFill>
    </fill>
    <fill>
      <patternFill patternType="solid">
        <fgColor rgb="FF0E7490"/>
        <bgColor rgb="FF0066CC"/>
      </patternFill>
    </fill>
    <fill>
      <patternFill patternType="solid">
        <fgColor rgb="FFCFFAFE"/>
        <bgColor rgb="FFDCFCE7"/>
      </patternFill>
    </fill>
    <fill>
      <patternFill patternType="solid">
        <fgColor rgb="FFF0FDFA"/>
        <bgColor rgb="FFF8FBFF"/>
      </patternFill>
    </fill>
    <fill>
      <patternFill patternType="solid">
        <fgColor rgb="FFDBEAFE"/>
        <bgColor rgb="FFEDE9FE"/>
      </patternFill>
    </fill>
    <fill>
      <patternFill patternType="solid">
        <fgColor rgb="FFF8FBFF"/>
        <bgColor rgb="FFF8FAFC"/>
      </patternFill>
    </fill>
    <fill>
      <patternFill patternType="solid">
        <fgColor rgb="FFEFF6FF"/>
        <bgColor rgb="FFF9F7FF"/>
      </patternFill>
    </fill>
    <fill>
      <patternFill patternType="solid">
        <fgColor rgb="FF7C3AED"/>
        <bgColor rgb="FF993366"/>
      </patternFill>
    </fill>
    <fill>
      <patternFill patternType="solid">
        <fgColor rgb="FFEDE9FE"/>
        <bgColor rgb="FFDBEAFE"/>
      </patternFill>
    </fill>
    <fill>
      <patternFill patternType="solid">
        <fgColor rgb="FFF9F7FF"/>
        <bgColor rgb="FFF8FAFC"/>
      </patternFill>
    </fill>
    <fill>
      <patternFill patternType="solid">
        <fgColor rgb="FFD97706"/>
        <bgColor rgb="FFC9A84C"/>
      </patternFill>
    </fill>
    <fill>
      <patternFill patternType="solid">
        <fgColor rgb="FFFFFDF5"/>
        <bgColor rgb="FFFFFFFF"/>
      </patternFill>
    </fill>
    <fill>
      <patternFill patternType="solid">
        <fgColor rgb="FFDCFCE7"/>
        <bgColor rgb="FFCFFAFE"/>
      </patternFill>
    </fill>
    <fill>
      <patternFill patternType="solid">
        <fgColor rgb="FFFFE4E6"/>
        <bgColor rgb="FFEDE9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1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2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4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DF5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DE9FE"/>
      <rgbColor rgb="FF808080"/>
      <rgbColor rgb="FFF8FBFF"/>
      <rgbColor rgb="FF7C3AED"/>
      <rgbColor rgb="FFFFF9C4"/>
      <rgbColor rgb="FFCFFAFE"/>
      <rgbColor rgb="FF660066"/>
      <rgbColor rgb="FFFF8080"/>
      <rgbColor rgb="FF0066CC"/>
      <rgbColor rgb="FFCBD5E1"/>
      <rgbColor rgb="FF000080"/>
      <rgbColor rgb="FFFF00FF"/>
      <rgbColor rgb="FFF0FDFA"/>
      <rgbColor rgb="FF00FFFF"/>
      <rgbColor rgb="FF800080"/>
      <rgbColor rgb="FF800000"/>
      <rgbColor rgb="FF0D9488"/>
      <rgbColor rgb="FF0000FF"/>
      <rgbColor rgb="FF00CCFF"/>
      <rgbColor rgb="FFDCFCE7"/>
      <rgbColor rgb="FFDBEAFE"/>
      <rgbColor rgb="FFFEF3C7"/>
      <rgbColor rgb="FFEFF6FF"/>
      <rgbColor rgb="FFF9F7FF"/>
      <rgbColor rgb="FFF8FAFC"/>
      <rgbColor rgb="FFFFE4E6"/>
      <rgbColor rgb="FF2563EB"/>
      <rgbColor rgb="FF33CCCC"/>
      <rgbColor rgb="FF99CC00"/>
      <rgbColor rgb="FFFFCC00"/>
      <rgbColor rgb="FFC9A84C"/>
      <rgbColor rgb="FFD97706"/>
      <rgbColor rgb="FF64748B"/>
      <rgbColor rgb="FF94A3B8"/>
      <rgbColor rgb="FF003366"/>
      <rgbColor rgb="FF16A34A"/>
      <rgbColor rgb="FF0D1B2A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G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4"/>
    <col collapsed="false" customWidth="true" hidden="false" outlineLevel="0" max="5" min="5" style="0" width="32"/>
    <col collapsed="false" customWidth="true" hidden="false" outlineLevel="0" max="6" min="6" style="0" width="2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1.75" hidden="false" customHeight="true" outlineLevel="0" collapsed="false">
      <c r="B5" s="4" t="s">
        <v>3</v>
      </c>
      <c r="C5" s="5"/>
      <c r="D5" s="4"/>
      <c r="E5" s="6" t="s">
        <v>4</v>
      </c>
    </row>
    <row r="6" customFormat="false" ht="21.75" hidden="false" customHeight="true" outlineLevel="0" collapsed="false">
      <c r="B6" s="4" t="s">
        <v>5</v>
      </c>
      <c r="C6" s="5"/>
      <c r="D6" s="4"/>
      <c r="E6" s="6" t="s">
        <v>6</v>
      </c>
    </row>
    <row r="7" customFormat="false" ht="21.75" hidden="false" customHeight="true" outlineLevel="0" collapsed="false">
      <c r="B7" s="4" t="s">
        <v>7</v>
      </c>
      <c r="C7" s="5"/>
      <c r="D7" s="4"/>
      <c r="E7" s="6" t="s">
        <v>8</v>
      </c>
    </row>
    <row r="8" customFormat="false" ht="21.75" hidden="false" customHeight="true" outlineLevel="0" collapsed="false">
      <c r="B8" s="4" t="s">
        <v>9</v>
      </c>
      <c r="C8" s="5"/>
      <c r="D8" s="4"/>
      <c r="E8" s="6" t="s">
        <v>10</v>
      </c>
    </row>
    <row r="9" customFormat="false" ht="21.75" hidden="false" customHeight="true" outlineLevel="0" collapsed="false">
      <c r="B9" s="4" t="s">
        <v>11</v>
      </c>
      <c r="C9" s="5"/>
      <c r="D9" s="4"/>
      <c r="E9" s="6" t="s">
        <v>12</v>
      </c>
    </row>
    <row r="10" customFormat="false" ht="21.75" hidden="false" customHeight="true" outlineLevel="0" collapsed="false">
      <c r="B10" s="4" t="s">
        <v>13</v>
      </c>
      <c r="C10" s="5"/>
      <c r="D10" s="4"/>
      <c r="E10" s="6" t="s">
        <v>14</v>
      </c>
    </row>
    <row r="11" customFormat="false" ht="21.75" hidden="false" customHeight="true" outlineLevel="0" collapsed="false">
      <c r="B11" s="4" t="s">
        <v>15</v>
      </c>
      <c r="C11" s="5"/>
      <c r="D11" s="4"/>
      <c r="E11" s="6" t="s">
        <v>16</v>
      </c>
    </row>
    <row r="12" customFormat="false" ht="21.75" hidden="false" customHeight="true" outlineLevel="0" collapsed="false">
      <c r="B12" s="4" t="s">
        <v>17</v>
      </c>
      <c r="C12" s="5"/>
      <c r="D12" s="4"/>
      <c r="E12" s="6"/>
    </row>
    <row r="13" customFormat="false" ht="21.75" hidden="false" customHeight="true" outlineLevel="0" collapsed="false">
      <c r="B13" s="4" t="s">
        <v>18</v>
      </c>
      <c r="C13" s="5"/>
      <c r="D13" s="4"/>
      <c r="E13" s="6" t="s">
        <v>19</v>
      </c>
    </row>
    <row r="14" customFormat="false" ht="21.75" hidden="false" customHeight="true" outlineLevel="0" collapsed="false">
      <c r="B14" s="4" t="s">
        <v>20</v>
      </c>
      <c r="C14" s="5"/>
      <c r="D14" s="4"/>
      <c r="E14" s="6" t="s">
        <v>21</v>
      </c>
    </row>
    <row r="15" customFormat="false" ht="21.75" hidden="false" customHeight="true" outlineLevel="0" collapsed="false">
      <c r="B15" s="4" t="s">
        <v>22</v>
      </c>
      <c r="C15" s="5"/>
      <c r="D15" s="4"/>
      <c r="E15" s="6" t="s">
        <v>23</v>
      </c>
    </row>
    <row r="16" customFormat="false" ht="21.75" hidden="false" customHeight="true" outlineLevel="0" collapsed="false">
      <c r="B16" s="4" t="s">
        <v>24</v>
      </c>
      <c r="C16" s="5"/>
      <c r="D16" s="4"/>
      <c r="E16" s="6" t="s">
        <v>25</v>
      </c>
    </row>
    <row r="17" customFormat="false" ht="7.5" hidden="false" customHeight="true" outlineLevel="0" collapsed="false"/>
    <row r="18" customFormat="false" ht="21.75" hidden="false" customHeight="true" outlineLevel="0" collapsed="false">
      <c r="A18" s="3" t="s">
        <v>26</v>
      </c>
      <c r="B18" s="3"/>
      <c r="C18" s="3"/>
      <c r="D18" s="3"/>
      <c r="E18" s="3"/>
      <c r="F18" s="3"/>
    </row>
    <row r="19" customFormat="false" ht="21.75" hidden="false" customHeight="true" outlineLevel="0" collapsed="false">
      <c r="B19" s="4" t="s">
        <v>27</v>
      </c>
      <c r="C19" s="7"/>
      <c r="E19" s="6" t="s">
        <v>28</v>
      </c>
    </row>
    <row r="20" customFormat="false" ht="21.75" hidden="false" customHeight="true" outlineLevel="0" collapsed="false">
      <c r="B20" s="4" t="s">
        <v>29</v>
      </c>
      <c r="C20" s="8"/>
      <c r="E20" s="6" t="s">
        <v>8</v>
      </c>
    </row>
    <row r="21" customFormat="false" ht="21.75" hidden="false" customHeight="true" outlineLevel="0" collapsed="false">
      <c r="B21" s="4" t="s">
        <v>30</v>
      </c>
      <c r="C21" s="9"/>
      <c r="E21" s="6" t="s">
        <v>31</v>
      </c>
    </row>
    <row r="22" customFormat="false" ht="21.75" hidden="false" customHeight="true" outlineLevel="0" collapsed="false">
      <c r="B22" s="4" t="s">
        <v>32</v>
      </c>
      <c r="C22" s="8"/>
      <c r="E22" s="6" t="s">
        <v>33</v>
      </c>
    </row>
    <row r="23" customFormat="false" ht="21.75" hidden="false" customHeight="true" outlineLevel="0" collapsed="false">
      <c r="B23" s="4" t="s">
        <v>34</v>
      </c>
      <c r="C23" s="8"/>
      <c r="E23" s="6" t="s">
        <v>35</v>
      </c>
    </row>
    <row r="24" customFormat="false" ht="21.75" hidden="false" customHeight="true" outlineLevel="0" collapsed="false">
      <c r="B24" s="4" t="s">
        <v>36</v>
      </c>
      <c r="C24" s="8"/>
      <c r="E24" s="6" t="s">
        <v>37</v>
      </c>
    </row>
    <row r="25" customFormat="false" ht="21.75" hidden="false" customHeight="true" outlineLevel="0" collapsed="false">
      <c r="B25" s="4" t="s">
        <v>38</v>
      </c>
      <c r="C25" s="8"/>
      <c r="E25" s="6" t="s">
        <v>39</v>
      </c>
    </row>
    <row r="26" customFormat="false" ht="21.75" hidden="false" customHeight="true" outlineLevel="0" collapsed="false">
      <c r="B26" s="10" t="s">
        <v>40</v>
      </c>
      <c r="C26" s="11" t="n">
        <f aca="false">C18+C19+C20+C21+C22+C23</f>
        <v>0</v>
      </c>
      <c r="E26" s="6" t="s">
        <v>41</v>
      </c>
    </row>
    <row r="27" customFormat="false" ht="21.75" hidden="false" customHeight="true" outlineLevel="0" collapsed="false">
      <c r="B27" s="10" t="s">
        <v>42</v>
      </c>
      <c r="C27" s="12" t="n">
        <f aca="false">C24/1.95583</f>
        <v>0</v>
      </c>
      <c r="E27" s="6" t="s">
        <v>43</v>
      </c>
    </row>
    <row r="29" customFormat="false" ht="7.5" hidden="false" customHeight="true" outlineLevel="0" collapsed="false"/>
    <row r="30" customFormat="false" ht="21.75" hidden="false" customHeight="true" outlineLevel="0" collapsed="false">
      <c r="A30" s="3" t="s">
        <v>44</v>
      </c>
      <c r="B30" s="3"/>
      <c r="C30" s="3"/>
      <c r="D30" s="3"/>
      <c r="E30" s="3"/>
      <c r="F30" s="3"/>
    </row>
    <row r="31" customFormat="false" ht="21.75" hidden="false" customHeight="true" outlineLevel="0" collapsed="false">
      <c r="B31" s="4" t="s">
        <v>45</v>
      </c>
      <c r="C31" s="5"/>
      <c r="E31" s="6" t="s">
        <v>46</v>
      </c>
    </row>
    <row r="32" customFormat="false" ht="21.75" hidden="false" customHeight="true" outlineLevel="0" collapsed="false">
      <c r="B32" s="4" t="s">
        <v>47</v>
      </c>
      <c r="C32" s="5"/>
      <c r="E32" s="6" t="s">
        <v>48</v>
      </c>
    </row>
    <row r="33" customFormat="false" ht="21.75" hidden="false" customHeight="true" outlineLevel="0" collapsed="false">
      <c r="B33" s="4" t="s">
        <v>49</v>
      </c>
      <c r="C33" s="5"/>
      <c r="E33" s="6" t="s">
        <v>50</v>
      </c>
    </row>
    <row r="34" customFormat="false" ht="21.75" hidden="false" customHeight="true" outlineLevel="0" collapsed="false">
      <c r="B34" s="4" t="s">
        <v>51</v>
      </c>
      <c r="C34" s="5"/>
      <c r="E34" s="6" t="s">
        <v>52</v>
      </c>
    </row>
    <row r="35" customFormat="false" ht="21.75" hidden="false" customHeight="true" outlineLevel="0" collapsed="false">
      <c r="B35" s="4" t="s">
        <v>53</v>
      </c>
      <c r="C35" s="5"/>
      <c r="E35" s="6" t="s">
        <v>54</v>
      </c>
    </row>
    <row r="36" customFormat="false" ht="21.75" hidden="false" customHeight="true" outlineLevel="0" collapsed="false">
      <c r="B36" s="4" t="s">
        <v>55</v>
      </c>
      <c r="C36" s="5"/>
      <c r="E36" s="6" t="s">
        <v>56</v>
      </c>
    </row>
    <row r="37" customFormat="false" ht="21.75" hidden="false" customHeight="true" outlineLevel="0" collapsed="false">
      <c r="B37" s="4" t="s">
        <v>57</v>
      </c>
      <c r="C37" s="5"/>
      <c r="E37" s="6" t="s">
        <v>58</v>
      </c>
    </row>
    <row r="38" customFormat="false" ht="21.75" hidden="false" customHeight="true" outlineLevel="0" collapsed="false">
      <c r="B38" s="4" t="s">
        <v>59</v>
      </c>
      <c r="C38" s="5"/>
      <c r="E38" s="6" t="s">
        <v>60</v>
      </c>
    </row>
    <row r="39" customFormat="false" ht="21.75" hidden="false" customHeight="true" outlineLevel="0" collapsed="false">
      <c r="B39" s="4" t="s">
        <v>61</v>
      </c>
      <c r="C39" s="5"/>
      <c r="E39" s="6" t="s">
        <v>62</v>
      </c>
    </row>
    <row r="40" customFormat="false" ht="21.75" hidden="false" customHeight="true" outlineLevel="0" collapsed="false">
      <c r="B40" s="4" t="s">
        <v>63</v>
      </c>
      <c r="C40" s="5"/>
      <c r="E40" s="6" t="s">
        <v>64</v>
      </c>
    </row>
    <row r="41" customFormat="false" ht="21.75" hidden="false" customHeight="true" outlineLevel="0" collapsed="false">
      <c r="B41" s="4" t="s">
        <v>65</v>
      </c>
      <c r="C41" s="5"/>
      <c r="E41" s="6" t="s">
        <v>66</v>
      </c>
    </row>
    <row r="42" customFormat="false" ht="21.75" hidden="false" customHeight="true" outlineLevel="0" collapsed="false">
      <c r="B42" s="4" t="s">
        <v>67</v>
      </c>
      <c r="C42" s="5"/>
      <c r="E42" s="6" t="s">
        <v>68</v>
      </c>
    </row>
    <row r="44" customFormat="false" ht="7.5" hidden="false" customHeight="true" outlineLevel="0" collapsed="false"/>
    <row r="45" customFormat="false" ht="21.75" hidden="false" customHeight="true" outlineLevel="0" collapsed="false">
      <c r="A45" s="3" t="s">
        <v>69</v>
      </c>
      <c r="B45" s="3"/>
      <c r="C45" s="3"/>
      <c r="D45" s="3"/>
      <c r="E45" s="3"/>
      <c r="F45" s="3"/>
    </row>
    <row r="46" customFormat="false" ht="19.5" hidden="false" customHeight="true" outlineLevel="0" collapsed="false">
      <c r="B46" s="13" t="s">
        <v>70</v>
      </c>
      <c r="C46" s="13" t="s">
        <v>71</v>
      </c>
      <c r="D46" s="13" t="s">
        <v>72</v>
      </c>
      <c r="E46" s="13" t="s">
        <v>73</v>
      </c>
      <c r="F46" s="13" t="s">
        <v>74</v>
      </c>
      <c r="G46" s="13" t="s">
        <v>75</v>
      </c>
    </row>
    <row r="47" customFormat="false" ht="21.75" hidden="false" customHeight="true" outlineLevel="0" collapsed="false">
      <c r="B47" s="14" t="s">
        <v>76</v>
      </c>
      <c r="C47" s="5"/>
      <c r="D47" s="15" t="s">
        <v>77</v>
      </c>
      <c r="E47" s="5"/>
      <c r="F47" s="5"/>
      <c r="G47" s="15" t="s">
        <v>78</v>
      </c>
    </row>
    <row r="48" customFormat="false" ht="21.75" hidden="false" customHeight="true" outlineLevel="0" collapsed="false">
      <c r="B48" s="16" t="s">
        <v>79</v>
      </c>
      <c r="C48" s="5"/>
      <c r="D48" s="17" t="s">
        <v>80</v>
      </c>
      <c r="E48" s="5"/>
      <c r="F48" s="5"/>
      <c r="G48" s="17" t="s">
        <v>81</v>
      </c>
    </row>
    <row r="49" customFormat="false" ht="21.75" hidden="false" customHeight="true" outlineLevel="0" collapsed="false">
      <c r="B49" s="14" t="s">
        <v>82</v>
      </c>
      <c r="C49" s="5"/>
      <c r="D49" s="15" t="s">
        <v>83</v>
      </c>
      <c r="E49" s="5"/>
      <c r="F49" s="5"/>
      <c r="G49" s="5"/>
    </row>
    <row r="50" customFormat="false" ht="21.75" hidden="false" customHeight="true" outlineLevel="0" collapsed="false">
      <c r="B50" s="16" t="s">
        <v>84</v>
      </c>
      <c r="C50" s="5"/>
      <c r="D50" s="17" t="s">
        <v>85</v>
      </c>
      <c r="E50" s="5"/>
      <c r="F50" s="5"/>
      <c r="G50" s="17" t="s">
        <v>86</v>
      </c>
    </row>
    <row r="51" customFormat="false" ht="21.75" hidden="false" customHeight="true" outlineLevel="0" collapsed="false">
      <c r="B51" s="14" t="s">
        <v>87</v>
      </c>
      <c r="C51" s="5"/>
      <c r="D51" s="15" t="s">
        <v>88</v>
      </c>
      <c r="E51" s="5"/>
      <c r="F51" s="5"/>
      <c r="G51" s="15" t="s">
        <v>89</v>
      </c>
    </row>
    <row r="52" customFormat="false" ht="21.75" hidden="false" customHeight="true" outlineLevel="0" collapsed="false">
      <c r="B52" s="16" t="s">
        <v>90</v>
      </c>
      <c r="C52" s="5"/>
      <c r="D52" s="17" t="s">
        <v>91</v>
      </c>
      <c r="E52" s="5"/>
      <c r="F52" s="5"/>
      <c r="G52" s="17" t="s">
        <v>92</v>
      </c>
    </row>
    <row r="53" customFormat="false" ht="21.75" hidden="false" customHeight="true" outlineLevel="0" collapsed="false">
      <c r="B53" s="14" t="s">
        <v>93</v>
      </c>
      <c r="C53" s="5"/>
      <c r="D53" s="15" t="s">
        <v>94</v>
      </c>
      <c r="E53" s="5"/>
      <c r="F53" s="5"/>
      <c r="G53" s="15" t="s">
        <v>95</v>
      </c>
    </row>
    <row r="54" customFormat="false" ht="21.75" hidden="false" customHeight="true" outlineLevel="0" collapsed="false">
      <c r="B54" s="16" t="s">
        <v>96</v>
      </c>
      <c r="C54" s="5"/>
      <c r="D54" s="5"/>
      <c r="E54" s="5"/>
      <c r="F54" s="5"/>
      <c r="G54" s="5"/>
    </row>
    <row r="55" customFormat="false" ht="21.75" hidden="false" customHeight="true" outlineLevel="0" collapsed="false">
      <c r="B55" s="14" t="s">
        <v>97</v>
      </c>
      <c r="C55" s="5"/>
      <c r="D55" s="5"/>
      <c r="E55" s="5"/>
      <c r="F55" s="5"/>
      <c r="G55" s="5"/>
    </row>
    <row r="56" customFormat="false" ht="21.75" hidden="false" customHeight="true" outlineLevel="0" collapsed="false">
      <c r="B56" s="16" t="s">
        <v>98</v>
      </c>
      <c r="C56" s="5"/>
      <c r="D56" s="17" t="s">
        <v>99</v>
      </c>
      <c r="E56" s="5"/>
      <c r="F56" s="5"/>
      <c r="G56" s="17" t="s">
        <v>100</v>
      </c>
    </row>
    <row r="57" customFormat="false" ht="21.75" hidden="false" customHeight="true" outlineLevel="0" collapsed="false">
      <c r="B57" s="14" t="s">
        <v>101</v>
      </c>
      <c r="C57" s="5"/>
      <c r="D57" s="15" t="s">
        <v>102</v>
      </c>
      <c r="E57" s="5"/>
      <c r="F57" s="5"/>
      <c r="G57" s="15" t="s">
        <v>103</v>
      </c>
    </row>
  </sheetData>
  <mergeCells count="6">
    <mergeCell ref="A1:F1"/>
    <mergeCell ref="A2:F2"/>
    <mergeCell ref="A4:F4"/>
    <mergeCell ref="A18:F18"/>
    <mergeCell ref="A30:F30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7" min="3" style="0" width="16"/>
    <col collapsed="false" customWidth="true" hidden="false" outlineLevel="0" max="8" min="8" style="0" width="18"/>
  </cols>
  <sheetData>
    <row r="1" customFormat="false" ht="36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105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106</v>
      </c>
      <c r="B4" s="3"/>
      <c r="C4" s="3"/>
      <c r="D4" s="3"/>
      <c r="E4" s="3"/>
      <c r="F4" s="3"/>
      <c r="G4" s="3"/>
      <c r="H4" s="3"/>
    </row>
    <row r="5" customFormat="false" ht="21.75" hidden="false" customHeight="true" outlineLevel="0" collapsed="false">
      <c r="B5" s="4" t="s">
        <v>107</v>
      </c>
      <c r="C5" s="9"/>
    </row>
    <row r="6" customFormat="false" ht="21.75" hidden="false" customHeight="true" outlineLevel="0" collapsed="false">
      <c r="B6" s="4" t="s">
        <v>108</v>
      </c>
      <c r="C6" s="5"/>
    </row>
    <row r="7" customFormat="false" ht="21.75" hidden="false" customHeight="true" outlineLevel="0" collapsed="false">
      <c r="B7" s="4" t="s">
        <v>109</v>
      </c>
      <c r="C7" s="5"/>
    </row>
    <row r="8" customFormat="false" ht="21.75" hidden="false" customHeight="true" outlineLevel="0" collapsed="false">
      <c r="B8" s="4" t="s">
        <v>110</v>
      </c>
      <c r="C8" s="5"/>
    </row>
    <row r="9" customFormat="false" ht="21.75" hidden="false" customHeight="true" outlineLevel="0" collapsed="false">
      <c r="B9" s="4" t="s">
        <v>111</v>
      </c>
      <c r="C9" s="5"/>
    </row>
    <row r="10" customFormat="false" ht="21.75" hidden="false" customHeight="true" outlineLevel="0" collapsed="false">
      <c r="B10" s="4" t="s">
        <v>112</v>
      </c>
      <c r="C10" s="5"/>
      <c r="D10" s="18" t="s">
        <v>113</v>
      </c>
      <c r="E10" s="18"/>
      <c r="F10" s="18"/>
      <c r="G10" s="18"/>
      <c r="H10" s="18"/>
    </row>
    <row r="11" customFormat="false" ht="21.75" hidden="false" customHeight="true" outlineLevel="0" collapsed="false">
      <c r="B11" s="4" t="s">
        <v>114</v>
      </c>
      <c r="C11" s="5"/>
      <c r="D11" s="18" t="s">
        <v>115</v>
      </c>
      <c r="E11" s="18"/>
      <c r="F11" s="18"/>
      <c r="G11" s="18"/>
      <c r="H11" s="18"/>
    </row>
    <row r="12" customFormat="false" ht="21.75" hidden="false" customHeight="true" outlineLevel="0" collapsed="false">
      <c r="B12" s="4" t="s">
        <v>116</v>
      </c>
      <c r="C12" s="7"/>
      <c r="D12" s="18" t="s">
        <v>117</v>
      </c>
      <c r="E12" s="18"/>
      <c r="F12" s="18"/>
      <c r="G12" s="18"/>
      <c r="H12" s="18"/>
    </row>
    <row r="13" customFormat="false" ht="21.75" hidden="false" customHeight="true" outlineLevel="0" collapsed="false">
      <c r="B13" s="4" t="s">
        <v>118</v>
      </c>
      <c r="C13" s="7"/>
      <c r="D13" s="18" t="s">
        <v>117</v>
      </c>
      <c r="E13" s="18"/>
      <c r="F13" s="18"/>
      <c r="G13" s="18"/>
      <c r="H13" s="18"/>
    </row>
    <row r="14" customFormat="false" ht="21.75" hidden="false" customHeight="true" outlineLevel="0" collapsed="false">
      <c r="B14" s="4" t="s">
        <v>119</v>
      </c>
      <c r="C14" s="9"/>
    </row>
    <row r="15" customFormat="false" ht="21.75" hidden="false" customHeight="true" outlineLevel="0" collapsed="false">
      <c r="B15" s="4" t="s">
        <v>120</v>
      </c>
      <c r="C15" s="19" t="str">
        <f aca="false">IF(C14="","",C14*1.95583)</f>
        <v/>
      </c>
      <c r="D15" s="18" t="s">
        <v>121</v>
      </c>
      <c r="E15" s="18"/>
      <c r="F15" s="18"/>
      <c r="G15" s="18"/>
      <c r="H15" s="18"/>
    </row>
    <row r="16" customFormat="false" ht="21.75" hidden="false" customHeight="true" outlineLevel="0" collapsed="false">
      <c r="B16" s="4" t="s">
        <v>122</v>
      </c>
      <c r="C16" s="5" t="n">
        <v>5</v>
      </c>
      <c r="D16" s="18" t="s">
        <v>123</v>
      </c>
      <c r="E16" s="18"/>
      <c r="F16" s="18"/>
      <c r="G16" s="18"/>
      <c r="H16" s="18"/>
    </row>
    <row r="17" customFormat="false" ht="21.75" hidden="false" customHeight="true" outlineLevel="0" collapsed="false">
      <c r="B17" s="4" t="s">
        <v>124</v>
      </c>
      <c r="C17" s="9"/>
    </row>
    <row r="18" customFormat="false" ht="21.75" hidden="false" customHeight="true" outlineLevel="0" collapsed="false">
      <c r="B18" s="4" t="s">
        <v>125</v>
      </c>
      <c r="C18" s="9"/>
    </row>
    <row r="19" customFormat="false" ht="21.75" hidden="false" customHeight="true" outlineLevel="0" collapsed="false">
      <c r="B19" s="4" t="s">
        <v>126</v>
      </c>
      <c r="C19" s="7"/>
      <c r="D19" s="18" t="s">
        <v>117</v>
      </c>
      <c r="E19" s="18"/>
      <c r="F19" s="18"/>
      <c r="G19" s="18"/>
      <c r="H19" s="18"/>
    </row>
    <row r="20" customFormat="false" ht="21.75" hidden="false" customHeight="true" outlineLevel="0" collapsed="false">
      <c r="B20" s="4" t="s">
        <v>127</v>
      </c>
      <c r="C20" s="5"/>
    </row>
    <row r="21" customFormat="false" ht="21.75" hidden="false" customHeight="true" outlineLevel="0" collapsed="false">
      <c r="B21" s="4" t="s">
        <v>128</v>
      </c>
      <c r="C21" s="7"/>
      <c r="D21" s="18" t="s">
        <v>117</v>
      </c>
      <c r="E21" s="18"/>
      <c r="F21" s="18"/>
      <c r="G21" s="18"/>
      <c r="H21" s="18"/>
    </row>
    <row r="22" customFormat="false" ht="21.75" hidden="false" customHeight="true" outlineLevel="0" collapsed="false">
      <c r="B22" s="4" t="s">
        <v>129</v>
      </c>
      <c r="C22" s="5"/>
    </row>
    <row r="23" customFormat="false" ht="21.75" hidden="false" customHeight="true" outlineLevel="0" collapsed="false">
      <c r="B23" s="4" t="s">
        <v>130</v>
      </c>
      <c r="C23" s="5" t="s">
        <v>131</v>
      </c>
      <c r="D23" s="18" t="s">
        <v>132</v>
      </c>
      <c r="E23" s="18"/>
      <c r="F23" s="18"/>
      <c r="G23" s="18"/>
      <c r="H23" s="18"/>
    </row>
    <row r="24" customFormat="false" ht="21.75" hidden="false" customHeight="true" outlineLevel="0" collapsed="false">
      <c r="B24" s="4" t="s">
        <v>133</v>
      </c>
      <c r="C24" s="5" t="s">
        <v>131</v>
      </c>
      <c r="D24" s="18" t="s">
        <v>134</v>
      </c>
      <c r="E24" s="18"/>
      <c r="F24" s="18"/>
      <c r="G24" s="18"/>
      <c r="H24" s="18"/>
    </row>
    <row r="25" customFormat="false" ht="21.75" hidden="false" customHeight="true" outlineLevel="0" collapsed="false">
      <c r="B25" s="4" t="s">
        <v>135</v>
      </c>
      <c r="C25" s="9" t="s">
        <v>131</v>
      </c>
      <c r="D25" s="18" t="s">
        <v>134</v>
      </c>
      <c r="E25" s="18"/>
      <c r="F25" s="18"/>
      <c r="G25" s="18"/>
      <c r="H25" s="18"/>
    </row>
    <row r="26" customFormat="false" ht="21.75" hidden="false" customHeight="true" outlineLevel="0" collapsed="false">
      <c r="B26" s="4" t="s">
        <v>75</v>
      </c>
      <c r="C26" s="5"/>
    </row>
    <row r="27" customFormat="false" ht="7.5" hidden="false" customHeight="true" outlineLevel="0" collapsed="false"/>
    <row r="28" customFormat="false" ht="21.75" hidden="false" customHeight="true" outlineLevel="0" collapsed="false">
      <c r="A28" s="3" t="s">
        <v>136</v>
      </c>
      <c r="B28" s="3"/>
      <c r="C28" s="3"/>
      <c r="D28" s="3"/>
      <c r="E28" s="3"/>
      <c r="F28" s="3"/>
      <c r="G28" s="3"/>
      <c r="H28" s="3"/>
    </row>
    <row r="29" customFormat="false" ht="25.5" hidden="false" customHeight="true" outlineLevel="0" collapsed="false">
      <c r="A29" s="20" t="s">
        <v>137</v>
      </c>
      <c r="B29" s="20" t="s">
        <v>138</v>
      </c>
      <c r="C29" s="20" t="s">
        <v>139</v>
      </c>
      <c r="D29" s="20" t="s">
        <v>140</v>
      </c>
      <c r="E29" s="20" t="s">
        <v>141</v>
      </c>
      <c r="F29" s="20" t="s">
        <v>142</v>
      </c>
      <c r="G29" s="20" t="s">
        <v>143</v>
      </c>
      <c r="H29" s="20" t="s">
        <v>75</v>
      </c>
    </row>
    <row r="30" customFormat="false" ht="19.5" hidden="false" customHeight="true" outlineLevel="0" collapsed="false">
      <c r="A30" s="21" t="n">
        <v>1</v>
      </c>
      <c r="B30" s="5"/>
      <c r="C30" s="7"/>
      <c r="D30" s="7"/>
      <c r="E30" s="9"/>
      <c r="F30" s="9"/>
      <c r="G30" s="5"/>
      <c r="H30" s="5"/>
    </row>
    <row r="31" customFormat="false" ht="19.5" hidden="false" customHeight="true" outlineLevel="0" collapsed="false">
      <c r="A31" s="22" t="n">
        <v>2</v>
      </c>
      <c r="B31" s="5"/>
      <c r="C31" s="7"/>
      <c r="D31" s="7"/>
      <c r="E31" s="9"/>
      <c r="F31" s="9"/>
      <c r="G31" s="5"/>
      <c r="H31" s="5"/>
    </row>
    <row r="32" customFormat="false" ht="19.5" hidden="false" customHeight="true" outlineLevel="0" collapsed="false">
      <c r="A32" s="21" t="n">
        <v>3</v>
      </c>
      <c r="B32" s="5"/>
      <c r="C32" s="7"/>
      <c r="D32" s="7"/>
      <c r="E32" s="9"/>
      <c r="F32" s="9"/>
      <c r="G32" s="5"/>
      <c r="H32" s="5"/>
    </row>
    <row r="33" customFormat="false" ht="19.5" hidden="false" customHeight="true" outlineLevel="0" collapsed="false">
      <c r="A33" s="22" t="n">
        <v>4</v>
      </c>
      <c r="B33" s="5"/>
      <c r="C33" s="7"/>
      <c r="D33" s="7"/>
      <c r="E33" s="9"/>
      <c r="F33" s="9"/>
      <c r="G33" s="5"/>
      <c r="H33" s="5"/>
    </row>
    <row r="34" customFormat="false" ht="19.5" hidden="false" customHeight="true" outlineLevel="0" collapsed="false">
      <c r="A34" s="21" t="n">
        <v>5</v>
      </c>
      <c r="B34" s="5"/>
      <c r="C34" s="7"/>
      <c r="D34" s="7"/>
      <c r="E34" s="9"/>
      <c r="F34" s="9"/>
      <c r="G34" s="5"/>
      <c r="H34" s="5"/>
    </row>
    <row r="35" customFormat="false" ht="19.5" hidden="false" customHeight="true" outlineLevel="0" collapsed="false">
      <c r="A35" s="22" t="n">
        <v>6</v>
      </c>
      <c r="B35" s="5"/>
      <c r="C35" s="7"/>
      <c r="D35" s="7"/>
      <c r="E35" s="9"/>
      <c r="F35" s="9"/>
      <c r="G35" s="5"/>
      <c r="H35" s="5"/>
    </row>
    <row r="36" customFormat="false" ht="19.5" hidden="false" customHeight="true" outlineLevel="0" collapsed="false">
      <c r="A36" s="21" t="n">
        <v>7</v>
      </c>
      <c r="B36" s="5"/>
      <c r="C36" s="7"/>
      <c r="D36" s="7"/>
      <c r="E36" s="9"/>
      <c r="F36" s="9"/>
      <c r="G36" s="5"/>
      <c r="H36" s="5"/>
    </row>
    <row r="37" customFormat="false" ht="19.5" hidden="false" customHeight="true" outlineLevel="0" collapsed="false">
      <c r="A37" s="22" t="n">
        <v>8</v>
      </c>
      <c r="B37" s="5"/>
      <c r="C37" s="7"/>
      <c r="D37" s="7"/>
      <c r="E37" s="9"/>
      <c r="F37" s="9"/>
      <c r="G37" s="5"/>
      <c r="H37" s="5"/>
    </row>
    <row r="38" customFormat="false" ht="19.5" hidden="false" customHeight="true" outlineLevel="0" collapsed="false">
      <c r="A38" s="21" t="n">
        <v>9</v>
      </c>
      <c r="B38" s="5"/>
      <c r="C38" s="7"/>
      <c r="D38" s="7"/>
      <c r="E38" s="9"/>
      <c r="F38" s="9"/>
      <c r="G38" s="5"/>
      <c r="H38" s="5"/>
    </row>
    <row r="39" customFormat="false" ht="19.5" hidden="false" customHeight="true" outlineLevel="0" collapsed="false">
      <c r="A39" s="22" t="n">
        <v>10</v>
      </c>
      <c r="B39" s="5"/>
      <c r="C39" s="7"/>
      <c r="D39" s="7"/>
      <c r="E39" s="9"/>
      <c r="F39" s="9"/>
      <c r="G39" s="5"/>
      <c r="H39" s="5"/>
    </row>
  </sheetData>
  <mergeCells count="15">
    <mergeCell ref="A1:H1"/>
    <mergeCell ref="A2:H2"/>
    <mergeCell ref="A4:H4"/>
    <mergeCell ref="D10:H10"/>
    <mergeCell ref="D11:H11"/>
    <mergeCell ref="D12:H12"/>
    <mergeCell ref="D13:H13"/>
    <mergeCell ref="D15:H15"/>
    <mergeCell ref="D16:H16"/>
    <mergeCell ref="D19:H19"/>
    <mergeCell ref="D21:H21"/>
    <mergeCell ref="D23:H23"/>
    <mergeCell ref="D24:H24"/>
    <mergeCell ref="D25:H25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0"/>
  </cols>
  <sheetData>
    <row r="1" customFormat="false" ht="36" hidden="false" customHeight="true" outlineLevel="0" collapsed="false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145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19.5" hidden="false" customHeight="true" outlineLevel="0" collapsed="false">
      <c r="A4" s="23" t="s">
        <v>146</v>
      </c>
      <c r="B4" s="23"/>
      <c r="C4" s="23" t="s">
        <v>147</v>
      </c>
      <c r="D4" s="23"/>
      <c r="E4" s="23" t="s">
        <v>148</v>
      </c>
      <c r="F4" s="23"/>
      <c r="G4" s="23" t="s">
        <v>149</v>
      </c>
      <c r="H4" s="23"/>
      <c r="I4" s="23" t="s">
        <v>150</v>
      </c>
      <c r="J4" s="23"/>
    </row>
    <row r="5" customFormat="false" ht="25.5" hidden="false" customHeight="true" outlineLevel="0" collapsed="false">
      <c r="A5" s="24" t="n">
        <f aca="false">IFERROR(SUM(D8:D500),0)</f>
        <v>0</v>
      </c>
      <c r="B5" s="24"/>
      <c r="C5" s="24" t="n">
        <f aca="false">IFERROR(SUM(F8:F500),0)</f>
        <v>0</v>
      </c>
      <c r="D5" s="24"/>
      <c r="E5" s="24" t="n">
        <f aca="false">IFERROR(C5-E5,0)</f>
        <v>0</v>
      </c>
      <c r="F5" s="24"/>
      <c r="G5" s="25" t="n">
        <f aca="false">IFERROR(COUNTA(B8:B500),0)</f>
        <v>0</v>
      </c>
      <c r="H5" s="25"/>
      <c r="I5" s="25" t="n">
        <f aca="false">IFERROR(COUNTIF(H8:H500,"&gt;0"),0)</f>
        <v>0</v>
      </c>
      <c r="J5" s="25"/>
    </row>
    <row r="6" customFormat="false" ht="6" hidden="false" customHeight="true" outlineLevel="0" collapsed="false"/>
    <row r="7" customFormat="false" ht="25.5" hidden="false" customHeight="true" outlineLevel="0" collapsed="false">
      <c r="A7" s="13" t="s">
        <v>137</v>
      </c>
      <c r="B7" s="13" t="s">
        <v>151</v>
      </c>
      <c r="C7" s="13" t="s">
        <v>152</v>
      </c>
      <c r="D7" s="13" t="s">
        <v>153</v>
      </c>
      <c r="E7" s="13" t="s">
        <v>154</v>
      </c>
      <c r="F7" s="13" t="s">
        <v>155</v>
      </c>
      <c r="G7" s="13" t="s">
        <v>156</v>
      </c>
      <c r="H7" s="13" t="s">
        <v>157</v>
      </c>
      <c r="I7" s="13" t="s">
        <v>158</v>
      </c>
      <c r="J7" s="13" t="s">
        <v>75</v>
      </c>
    </row>
    <row r="8" customFormat="false" ht="19.5" hidden="false" customHeight="true" outlineLevel="0" collapsed="false">
      <c r="A8" s="26" t="n">
        <v>1</v>
      </c>
      <c r="B8" s="5"/>
      <c r="C8" s="27"/>
      <c r="D8" s="28"/>
      <c r="E8" s="29"/>
      <c r="F8" s="28"/>
      <c r="G8" s="27"/>
      <c r="H8" s="30" t="str">
        <f aca="false">IFERROR(IF(G8="","",MAX(0,G8-C8)),"")</f>
        <v/>
      </c>
      <c r="I8" s="5"/>
      <c r="J8" s="5"/>
    </row>
    <row r="9" customFormat="false" ht="19.5" hidden="false" customHeight="true" outlineLevel="0" collapsed="false">
      <c r="A9" s="31" t="n">
        <v>2</v>
      </c>
      <c r="B9" s="5"/>
      <c r="C9" s="27"/>
      <c r="D9" s="28"/>
      <c r="E9" s="29"/>
      <c r="F9" s="28"/>
      <c r="G9" s="27"/>
      <c r="H9" s="30" t="str">
        <f aca="false">IFERROR(IF(G9="","",MAX(0,G9-C9)),"")</f>
        <v/>
      </c>
      <c r="I9" s="5"/>
      <c r="J9" s="5"/>
    </row>
    <row r="10" customFormat="false" ht="19.5" hidden="false" customHeight="true" outlineLevel="0" collapsed="false">
      <c r="A10" s="26" t="n">
        <v>3</v>
      </c>
      <c r="B10" s="5"/>
      <c r="C10" s="27"/>
      <c r="D10" s="28"/>
      <c r="E10" s="29"/>
      <c r="F10" s="28"/>
      <c r="G10" s="27"/>
      <c r="H10" s="30" t="str">
        <f aca="false">IFERROR(IF(G10="","",MAX(0,G10-C10)),"")</f>
        <v/>
      </c>
      <c r="I10" s="5"/>
      <c r="J10" s="5"/>
    </row>
    <row r="11" customFormat="false" ht="19.5" hidden="false" customHeight="true" outlineLevel="0" collapsed="false">
      <c r="A11" s="31" t="n">
        <v>4</v>
      </c>
      <c r="B11" s="5"/>
      <c r="C11" s="27"/>
      <c r="D11" s="28"/>
      <c r="E11" s="29"/>
      <c r="F11" s="28"/>
      <c r="G11" s="27"/>
      <c r="H11" s="30" t="str">
        <f aca="false">IFERROR(IF(G11="","",MAX(0,G11-C11)),"")</f>
        <v/>
      </c>
      <c r="I11" s="5"/>
      <c r="J11" s="5"/>
    </row>
    <row r="12" customFormat="false" ht="19.5" hidden="false" customHeight="true" outlineLevel="0" collapsed="false">
      <c r="A12" s="26" t="n">
        <v>5</v>
      </c>
      <c r="B12" s="5"/>
      <c r="C12" s="27"/>
      <c r="D12" s="28"/>
      <c r="E12" s="29"/>
      <c r="F12" s="28"/>
      <c r="G12" s="27"/>
      <c r="H12" s="30" t="str">
        <f aca="false">IFERROR(IF(G12="","",MAX(0,G12-C12)),"")</f>
        <v/>
      </c>
      <c r="I12" s="5"/>
      <c r="J12" s="5"/>
    </row>
    <row r="13" customFormat="false" ht="19.5" hidden="false" customHeight="true" outlineLevel="0" collapsed="false">
      <c r="A13" s="31" t="n">
        <v>6</v>
      </c>
      <c r="B13" s="5"/>
      <c r="C13" s="27"/>
      <c r="D13" s="28"/>
      <c r="E13" s="29"/>
      <c r="F13" s="28"/>
      <c r="G13" s="27"/>
      <c r="H13" s="30" t="str">
        <f aca="false">IFERROR(IF(G13="","",MAX(0,G13-C13)),"")</f>
        <v/>
      </c>
      <c r="I13" s="5"/>
      <c r="J13" s="5"/>
    </row>
    <row r="14" customFormat="false" ht="19.5" hidden="false" customHeight="true" outlineLevel="0" collapsed="false">
      <c r="A14" s="26" t="n">
        <v>7</v>
      </c>
      <c r="B14" s="5"/>
      <c r="C14" s="27"/>
      <c r="D14" s="28"/>
      <c r="E14" s="29"/>
      <c r="F14" s="28"/>
      <c r="G14" s="27"/>
      <c r="H14" s="30" t="str">
        <f aca="false">IFERROR(IF(G14="","",MAX(0,G14-C14)),"")</f>
        <v/>
      </c>
      <c r="I14" s="5"/>
      <c r="J14" s="5"/>
    </row>
    <row r="15" customFormat="false" ht="19.5" hidden="false" customHeight="true" outlineLevel="0" collapsed="false">
      <c r="A15" s="31" t="n">
        <v>8</v>
      </c>
      <c r="B15" s="5"/>
      <c r="C15" s="27"/>
      <c r="D15" s="28"/>
      <c r="E15" s="29"/>
      <c r="F15" s="28"/>
      <c r="G15" s="27"/>
      <c r="H15" s="30" t="str">
        <f aca="false">IFERROR(IF(G15="","",MAX(0,G15-C15)),"")</f>
        <v/>
      </c>
      <c r="I15" s="5"/>
      <c r="J15" s="5"/>
    </row>
    <row r="16" customFormat="false" ht="19.5" hidden="false" customHeight="true" outlineLevel="0" collapsed="false">
      <c r="A16" s="26" t="n">
        <v>9</v>
      </c>
      <c r="B16" s="5"/>
      <c r="C16" s="27"/>
      <c r="D16" s="28"/>
      <c r="E16" s="29"/>
      <c r="F16" s="28"/>
      <c r="G16" s="27"/>
      <c r="H16" s="30" t="str">
        <f aca="false">IFERROR(IF(G16="","",MAX(0,G16-C16)),"")</f>
        <v/>
      </c>
      <c r="I16" s="5"/>
      <c r="J16" s="5"/>
    </row>
    <row r="17" customFormat="false" ht="19.5" hidden="false" customHeight="true" outlineLevel="0" collapsed="false">
      <c r="A17" s="31" t="n">
        <v>10</v>
      </c>
      <c r="B17" s="5"/>
      <c r="C17" s="27"/>
      <c r="D17" s="28"/>
      <c r="E17" s="29"/>
      <c r="F17" s="28"/>
      <c r="G17" s="27"/>
      <c r="H17" s="30" t="str">
        <f aca="false">IFERROR(IF(G17="","",MAX(0,G17-C17)),"")</f>
        <v/>
      </c>
      <c r="I17" s="5"/>
      <c r="J17" s="5"/>
    </row>
    <row r="18" customFormat="false" ht="19.5" hidden="false" customHeight="true" outlineLevel="0" collapsed="false">
      <c r="A18" s="26" t="n">
        <v>11</v>
      </c>
      <c r="B18" s="5"/>
      <c r="C18" s="27"/>
      <c r="D18" s="28"/>
      <c r="E18" s="29"/>
      <c r="F18" s="28"/>
      <c r="G18" s="27"/>
      <c r="H18" s="30" t="str">
        <f aca="false">IFERROR(IF(G18="","",MAX(0,G18-C18)),"")</f>
        <v/>
      </c>
      <c r="I18" s="5"/>
      <c r="J18" s="5"/>
    </row>
    <row r="19" customFormat="false" ht="19.5" hidden="false" customHeight="true" outlineLevel="0" collapsed="false">
      <c r="A19" s="31" t="n">
        <v>12</v>
      </c>
      <c r="B19" s="5"/>
      <c r="C19" s="27"/>
      <c r="D19" s="28"/>
      <c r="E19" s="29"/>
      <c r="F19" s="28"/>
      <c r="G19" s="27"/>
      <c r="H19" s="30" t="str">
        <f aca="false">IFERROR(IF(G19="","",MAX(0,G19-C19)),"")</f>
        <v/>
      </c>
      <c r="I19" s="5"/>
      <c r="J19" s="5"/>
    </row>
    <row r="20" customFormat="false" ht="19.5" hidden="false" customHeight="true" outlineLevel="0" collapsed="false">
      <c r="A20" s="26" t="n">
        <v>13</v>
      </c>
      <c r="B20" s="5"/>
      <c r="C20" s="27"/>
      <c r="D20" s="28"/>
      <c r="E20" s="29"/>
      <c r="F20" s="28"/>
      <c r="G20" s="27"/>
      <c r="H20" s="30" t="str">
        <f aca="false">IFERROR(IF(G20="","",MAX(0,G20-C20)),"")</f>
        <v/>
      </c>
      <c r="I20" s="5"/>
      <c r="J20" s="5"/>
    </row>
    <row r="21" customFormat="false" ht="19.5" hidden="false" customHeight="true" outlineLevel="0" collapsed="false">
      <c r="A21" s="31" t="n">
        <v>14</v>
      </c>
      <c r="B21" s="5"/>
      <c r="C21" s="27"/>
      <c r="D21" s="28"/>
      <c r="E21" s="29"/>
      <c r="F21" s="28"/>
      <c r="G21" s="27"/>
      <c r="H21" s="30" t="str">
        <f aca="false">IFERROR(IF(G21="","",MAX(0,G21-C21)),"")</f>
        <v/>
      </c>
      <c r="I21" s="5"/>
      <c r="J21" s="5"/>
    </row>
    <row r="22" customFormat="false" ht="19.5" hidden="false" customHeight="true" outlineLevel="0" collapsed="false">
      <c r="A22" s="26" t="n">
        <v>15</v>
      </c>
      <c r="B22" s="5"/>
      <c r="C22" s="27"/>
      <c r="D22" s="28"/>
      <c r="E22" s="29"/>
      <c r="F22" s="28"/>
      <c r="G22" s="27"/>
      <c r="H22" s="30" t="str">
        <f aca="false">IFERROR(IF(G22="","",MAX(0,G22-C22)),"")</f>
        <v/>
      </c>
      <c r="I22" s="5"/>
      <c r="J22" s="5"/>
    </row>
    <row r="23" customFormat="false" ht="19.5" hidden="false" customHeight="true" outlineLevel="0" collapsed="false">
      <c r="A23" s="31" t="n">
        <v>16</v>
      </c>
      <c r="B23" s="5"/>
      <c r="C23" s="27"/>
      <c r="D23" s="28"/>
      <c r="E23" s="29"/>
      <c r="F23" s="28"/>
      <c r="G23" s="27"/>
      <c r="H23" s="30" t="str">
        <f aca="false">IFERROR(IF(G23="","",MAX(0,G23-C23)),"")</f>
        <v/>
      </c>
      <c r="I23" s="5"/>
      <c r="J23" s="5"/>
    </row>
    <row r="24" customFormat="false" ht="19.5" hidden="false" customHeight="true" outlineLevel="0" collapsed="false">
      <c r="A24" s="26" t="n">
        <v>17</v>
      </c>
      <c r="B24" s="5"/>
      <c r="C24" s="27"/>
      <c r="D24" s="28"/>
      <c r="E24" s="29"/>
      <c r="F24" s="28"/>
      <c r="G24" s="27"/>
      <c r="H24" s="30" t="str">
        <f aca="false">IFERROR(IF(G24="","",MAX(0,G24-C24)),"")</f>
        <v/>
      </c>
      <c r="I24" s="5"/>
      <c r="J24" s="5"/>
    </row>
    <row r="25" customFormat="false" ht="19.5" hidden="false" customHeight="true" outlineLevel="0" collapsed="false">
      <c r="A25" s="31" t="n">
        <v>18</v>
      </c>
      <c r="B25" s="5"/>
      <c r="C25" s="27"/>
      <c r="D25" s="28"/>
      <c r="E25" s="29"/>
      <c r="F25" s="28"/>
      <c r="G25" s="27"/>
      <c r="H25" s="30" t="str">
        <f aca="false">IFERROR(IF(G25="","",MAX(0,G25-C25)),"")</f>
        <v/>
      </c>
      <c r="I25" s="5"/>
      <c r="J25" s="5"/>
    </row>
    <row r="26" customFormat="false" ht="19.5" hidden="false" customHeight="true" outlineLevel="0" collapsed="false">
      <c r="A26" s="26" t="n">
        <v>19</v>
      </c>
      <c r="B26" s="5"/>
      <c r="C26" s="27"/>
      <c r="D26" s="28"/>
      <c r="E26" s="29"/>
      <c r="F26" s="28"/>
      <c r="G26" s="27"/>
      <c r="H26" s="30" t="str">
        <f aca="false">IFERROR(IF(G26="","",MAX(0,G26-C26)),"")</f>
        <v/>
      </c>
      <c r="I26" s="5"/>
      <c r="J26" s="5"/>
    </row>
    <row r="27" customFormat="false" ht="19.5" hidden="false" customHeight="true" outlineLevel="0" collapsed="false">
      <c r="A27" s="31" t="n">
        <v>20</v>
      </c>
      <c r="B27" s="5"/>
      <c r="C27" s="27"/>
      <c r="D27" s="28"/>
      <c r="E27" s="29"/>
      <c r="F27" s="28"/>
      <c r="G27" s="27"/>
      <c r="H27" s="30" t="str">
        <f aca="false">IFERROR(IF(G27="","",MAX(0,G27-C27)),"")</f>
        <v/>
      </c>
      <c r="I27" s="5"/>
      <c r="J27" s="5"/>
    </row>
    <row r="28" customFormat="false" ht="19.5" hidden="false" customHeight="true" outlineLevel="0" collapsed="false">
      <c r="A28" s="26" t="n">
        <v>21</v>
      </c>
      <c r="B28" s="5"/>
      <c r="C28" s="27"/>
      <c r="D28" s="28"/>
      <c r="E28" s="29"/>
      <c r="F28" s="28"/>
      <c r="G28" s="27"/>
      <c r="H28" s="30" t="str">
        <f aca="false">IFERROR(IF(G28="","",MAX(0,G28-C28)),"")</f>
        <v/>
      </c>
      <c r="I28" s="5"/>
      <c r="J28" s="5"/>
    </row>
    <row r="29" customFormat="false" ht="19.5" hidden="false" customHeight="true" outlineLevel="0" collapsed="false">
      <c r="A29" s="31" t="n">
        <v>22</v>
      </c>
      <c r="B29" s="5"/>
      <c r="C29" s="27"/>
      <c r="D29" s="28"/>
      <c r="E29" s="29"/>
      <c r="F29" s="28"/>
      <c r="G29" s="27"/>
      <c r="H29" s="30" t="str">
        <f aca="false">IFERROR(IF(G29="","",MAX(0,G29-C29)),"")</f>
        <v/>
      </c>
      <c r="I29" s="5"/>
      <c r="J29" s="5"/>
    </row>
    <row r="30" customFormat="false" ht="19.5" hidden="false" customHeight="true" outlineLevel="0" collapsed="false">
      <c r="A30" s="26" t="n">
        <v>23</v>
      </c>
      <c r="B30" s="5"/>
      <c r="C30" s="27"/>
      <c r="D30" s="28"/>
      <c r="E30" s="29"/>
      <c r="F30" s="28"/>
      <c r="G30" s="27"/>
      <c r="H30" s="30" t="str">
        <f aca="false">IFERROR(IF(G30="","",MAX(0,G30-C30)),"")</f>
        <v/>
      </c>
      <c r="I30" s="5"/>
      <c r="J30" s="5"/>
    </row>
    <row r="31" customFormat="false" ht="19.5" hidden="false" customHeight="true" outlineLevel="0" collapsed="false">
      <c r="A31" s="31" t="n">
        <v>24</v>
      </c>
      <c r="B31" s="5"/>
      <c r="C31" s="27"/>
      <c r="D31" s="28"/>
      <c r="E31" s="29"/>
      <c r="F31" s="28"/>
      <c r="G31" s="27"/>
      <c r="H31" s="30" t="str">
        <f aca="false">IFERROR(IF(G31="","",MAX(0,G31-C31)),"")</f>
        <v/>
      </c>
      <c r="I31" s="5"/>
      <c r="J31" s="5"/>
    </row>
    <row r="32" customFormat="false" ht="19.5" hidden="false" customHeight="true" outlineLevel="0" collapsed="false">
      <c r="A32" s="26" t="n">
        <v>25</v>
      </c>
      <c r="B32" s="5"/>
      <c r="C32" s="27"/>
      <c r="D32" s="28"/>
      <c r="E32" s="29"/>
      <c r="F32" s="28"/>
      <c r="G32" s="27"/>
      <c r="H32" s="30" t="str">
        <f aca="false">IFERROR(IF(G32="","",MAX(0,G32-C32)),"")</f>
        <v/>
      </c>
      <c r="I32" s="5"/>
      <c r="J32" s="5"/>
    </row>
    <row r="33" customFormat="false" ht="19.5" hidden="false" customHeight="true" outlineLevel="0" collapsed="false">
      <c r="A33" s="31" t="n">
        <v>26</v>
      </c>
      <c r="B33" s="5"/>
      <c r="C33" s="27"/>
      <c r="D33" s="28"/>
      <c r="E33" s="29"/>
      <c r="F33" s="28"/>
      <c r="G33" s="27"/>
      <c r="H33" s="30" t="str">
        <f aca="false">IFERROR(IF(G33="","",MAX(0,G33-C33)),"")</f>
        <v/>
      </c>
      <c r="I33" s="5"/>
      <c r="J33" s="5"/>
    </row>
    <row r="34" customFormat="false" ht="19.5" hidden="false" customHeight="true" outlineLevel="0" collapsed="false">
      <c r="A34" s="26" t="n">
        <v>27</v>
      </c>
      <c r="B34" s="5"/>
      <c r="C34" s="27"/>
      <c r="D34" s="28"/>
      <c r="E34" s="29"/>
      <c r="F34" s="28"/>
      <c r="G34" s="27"/>
      <c r="H34" s="30" t="str">
        <f aca="false">IFERROR(IF(G34="","",MAX(0,G34-C34)),"")</f>
        <v/>
      </c>
      <c r="I34" s="5"/>
      <c r="J34" s="5"/>
    </row>
    <row r="35" customFormat="false" ht="19.5" hidden="false" customHeight="true" outlineLevel="0" collapsed="false">
      <c r="A35" s="31" t="n">
        <v>28</v>
      </c>
      <c r="B35" s="5"/>
      <c r="C35" s="27"/>
      <c r="D35" s="28"/>
      <c r="E35" s="29"/>
      <c r="F35" s="28"/>
      <c r="G35" s="27"/>
      <c r="H35" s="30" t="str">
        <f aca="false">IFERROR(IF(G35="","",MAX(0,G35-C35)),"")</f>
        <v/>
      </c>
      <c r="I35" s="5"/>
      <c r="J35" s="5"/>
    </row>
    <row r="36" customFormat="false" ht="19.5" hidden="false" customHeight="true" outlineLevel="0" collapsed="false">
      <c r="A36" s="26" t="n">
        <v>29</v>
      </c>
      <c r="B36" s="5"/>
      <c r="C36" s="27"/>
      <c r="D36" s="28"/>
      <c r="E36" s="29"/>
      <c r="F36" s="28"/>
      <c r="G36" s="27"/>
      <c r="H36" s="30" t="str">
        <f aca="false">IFERROR(IF(G36="","",MAX(0,G36-C36)),"")</f>
        <v/>
      </c>
      <c r="I36" s="5"/>
      <c r="J36" s="5"/>
    </row>
    <row r="37" customFormat="false" ht="19.5" hidden="false" customHeight="true" outlineLevel="0" collapsed="false">
      <c r="A37" s="31" t="n">
        <v>30</v>
      </c>
      <c r="B37" s="5"/>
      <c r="C37" s="27"/>
      <c r="D37" s="28"/>
      <c r="E37" s="29"/>
      <c r="F37" s="28"/>
      <c r="G37" s="27"/>
      <c r="H37" s="30" t="str">
        <f aca="false">IFERROR(IF(G37="","",MAX(0,G37-C37)),"")</f>
        <v/>
      </c>
      <c r="I37" s="5"/>
      <c r="J37" s="5"/>
    </row>
    <row r="38" customFormat="false" ht="19.5" hidden="false" customHeight="true" outlineLevel="0" collapsed="false">
      <c r="A38" s="26" t="n">
        <v>31</v>
      </c>
      <c r="B38" s="5"/>
      <c r="C38" s="27"/>
      <c r="D38" s="28"/>
      <c r="E38" s="29"/>
      <c r="F38" s="28"/>
      <c r="G38" s="27"/>
      <c r="H38" s="30" t="str">
        <f aca="false">IFERROR(IF(G38="","",MAX(0,G38-C38)),"")</f>
        <v/>
      </c>
      <c r="I38" s="5"/>
      <c r="J38" s="5"/>
    </row>
    <row r="39" customFormat="false" ht="19.5" hidden="false" customHeight="true" outlineLevel="0" collapsed="false">
      <c r="A39" s="31" t="n">
        <v>32</v>
      </c>
      <c r="B39" s="5"/>
      <c r="C39" s="27"/>
      <c r="D39" s="28"/>
      <c r="E39" s="29"/>
      <c r="F39" s="28"/>
      <c r="G39" s="27"/>
      <c r="H39" s="30" t="str">
        <f aca="false">IFERROR(IF(G39="","",MAX(0,G39-C39)),"")</f>
        <v/>
      </c>
      <c r="I39" s="5"/>
      <c r="J39" s="5"/>
    </row>
    <row r="40" customFormat="false" ht="19.5" hidden="false" customHeight="true" outlineLevel="0" collapsed="false">
      <c r="A40" s="26" t="n">
        <v>33</v>
      </c>
      <c r="B40" s="5"/>
      <c r="C40" s="27"/>
      <c r="D40" s="28"/>
      <c r="E40" s="29"/>
      <c r="F40" s="28"/>
      <c r="G40" s="27"/>
      <c r="H40" s="30" t="str">
        <f aca="false">IFERROR(IF(G40="","",MAX(0,G40-C40)),"")</f>
        <v/>
      </c>
      <c r="I40" s="5"/>
      <c r="J40" s="5"/>
    </row>
    <row r="41" customFormat="false" ht="19.5" hidden="false" customHeight="true" outlineLevel="0" collapsed="false">
      <c r="A41" s="31" t="n">
        <v>34</v>
      </c>
      <c r="B41" s="5"/>
      <c r="C41" s="27"/>
      <c r="D41" s="28"/>
      <c r="E41" s="29"/>
      <c r="F41" s="28"/>
      <c r="G41" s="27"/>
      <c r="H41" s="30" t="str">
        <f aca="false">IFERROR(IF(G41="","",MAX(0,G41-C41)),"")</f>
        <v/>
      </c>
      <c r="I41" s="5"/>
      <c r="J41" s="5"/>
    </row>
    <row r="42" customFormat="false" ht="19.5" hidden="false" customHeight="true" outlineLevel="0" collapsed="false">
      <c r="A42" s="26" t="n">
        <v>35</v>
      </c>
      <c r="B42" s="5"/>
      <c r="C42" s="27"/>
      <c r="D42" s="28"/>
      <c r="E42" s="29"/>
      <c r="F42" s="28"/>
      <c r="G42" s="27"/>
      <c r="H42" s="30" t="str">
        <f aca="false">IFERROR(IF(G42="","",MAX(0,G42-C42)),"")</f>
        <v/>
      </c>
      <c r="I42" s="5"/>
      <c r="J42" s="5"/>
    </row>
    <row r="43" customFormat="false" ht="19.5" hidden="false" customHeight="true" outlineLevel="0" collapsed="false">
      <c r="A43" s="31" t="n">
        <v>36</v>
      </c>
      <c r="B43" s="5"/>
      <c r="C43" s="27"/>
      <c r="D43" s="28"/>
      <c r="E43" s="29"/>
      <c r="F43" s="28"/>
      <c r="G43" s="27"/>
      <c r="H43" s="30" t="str">
        <f aca="false">IFERROR(IF(G43="","",MAX(0,G43-C43)),"")</f>
        <v/>
      </c>
      <c r="I43" s="5"/>
      <c r="J43" s="5"/>
    </row>
  </sheetData>
  <mergeCells count="12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</mergeCells>
  <dataValidations count="2">
    <dataValidation allowBlank="true" errorStyle="stop" operator="between" showDropDown="false" showErrorMessage="false" showInputMessage="false" sqref="E8:E43" type="list">
      <formula1>"Да,Не,Частично"</formula1>
      <formula2>0</formula2>
    </dataValidation>
    <dataValidation allowBlank="true" errorStyle="stop" operator="between" showDropDown="false" showErrorMessage="false" showInputMessage="false" sqref="I8:I43" type="list">
      <formula1>"Банков превод,Кеш,Карта,Друго"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J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8" min="4" style="0" width="14"/>
    <col collapsed="false" customWidth="true" hidden="false" outlineLevel="0" max="9" min="9" style="0" width="18"/>
  </cols>
  <sheetData>
    <row r="1" customFormat="false" ht="36" hidden="false" customHeight="true" outlineLevel="0" collapsed="false">
      <c r="A1" s="1" t="s">
        <v>159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160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21.75" hidden="false" customHeight="true" outlineLevel="0" collapsed="false">
      <c r="A4" s="23" t="s">
        <v>161</v>
      </c>
      <c r="B4" s="23"/>
      <c r="C4" s="23" t="s">
        <v>162</v>
      </c>
      <c r="D4" s="23"/>
      <c r="E4" s="23" t="s">
        <v>163</v>
      </c>
      <c r="F4" s="23"/>
      <c r="G4" s="23" t="s">
        <v>164</v>
      </c>
      <c r="H4" s="23"/>
      <c r="I4" s="23" t="s">
        <v>165</v>
      </c>
      <c r="J4" s="23"/>
    </row>
    <row r="5" customFormat="false" ht="3.75" hidden="false" customHeight="true" outlineLevel="0" collapsed="false"/>
    <row r="6" customFormat="false" ht="25.5" hidden="false" customHeight="true" outlineLevel="0" collapsed="false">
      <c r="A6" s="32" t="s">
        <v>137</v>
      </c>
      <c r="B6" s="32" t="s">
        <v>166</v>
      </c>
      <c r="C6" s="32" t="s">
        <v>167</v>
      </c>
      <c r="D6" s="32" t="s">
        <v>168</v>
      </c>
      <c r="E6" s="32" t="s">
        <v>169</v>
      </c>
      <c r="F6" s="32" t="s">
        <v>170</v>
      </c>
      <c r="G6" s="32" t="s">
        <v>171</v>
      </c>
      <c r="H6" s="32" t="s">
        <v>172</v>
      </c>
      <c r="I6" s="32" t="s">
        <v>75</v>
      </c>
    </row>
    <row r="7" customFormat="false" ht="19.5" hidden="false" customHeight="true" outlineLevel="0" collapsed="false">
      <c r="A7" s="33" t="n">
        <v>1</v>
      </c>
      <c r="B7" s="27"/>
      <c r="C7" s="5"/>
      <c r="D7" s="28"/>
      <c r="E7" s="34" t="n">
        <f aca="false">IFERROR(D7*1.95583,"")</f>
        <v>0</v>
      </c>
      <c r="F7" s="5"/>
      <c r="G7" s="29"/>
      <c r="H7" s="5"/>
      <c r="I7" s="5"/>
    </row>
    <row r="8" customFormat="false" ht="19.5" hidden="false" customHeight="true" outlineLevel="0" collapsed="false">
      <c r="A8" s="35" t="n">
        <v>2</v>
      </c>
      <c r="B8" s="27"/>
      <c r="C8" s="5"/>
      <c r="D8" s="28"/>
      <c r="E8" s="34" t="n">
        <f aca="false">IFERROR(D8*1.95583,"")</f>
        <v>0</v>
      </c>
      <c r="F8" s="5"/>
      <c r="G8" s="29"/>
      <c r="H8" s="5"/>
      <c r="I8" s="5"/>
    </row>
    <row r="9" customFormat="false" ht="19.5" hidden="false" customHeight="true" outlineLevel="0" collapsed="false">
      <c r="A9" s="33" t="n">
        <v>3</v>
      </c>
      <c r="B9" s="27"/>
      <c r="C9" s="5"/>
      <c r="D9" s="28"/>
      <c r="E9" s="34" t="n">
        <f aca="false">IFERROR(D9*1.95583,"")</f>
        <v>0</v>
      </c>
      <c r="F9" s="5"/>
      <c r="G9" s="29"/>
      <c r="H9" s="5"/>
      <c r="I9" s="5"/>
    </row>
    <row r="10" customFormat="false" ht="19.5" hidden="false" customHeight="true" outlineLevel="0" collapsed="false">
      <c r="A10" s="35" t="n">
        <v>4</v>
      </c>
      <c r="B10" s="27"/>
      <c r="C10" s="5"/>
      <c r="D10" s="28"/>
      <c r="E10" s="34" t="n">
        <f aca="false">IFERROR(D10*1.95583,"")</f>
        <v>0</v>
      </c>
      <c r="F10" s="5"/>
      <c r="G10" s="29"/>
      <c r="H10" s="5"/>
      <c r="I10" s="5"/>
    </row>
    <row r="11" customFormat="false" ht="19.5" hidden="false" customHeight="true" outlineLevel="0" collapsed="false">
      <c r="A11" s="33" t="n">
        <v>5</v>
      </c>
      <c r="B11" s="27"/>
      <c r="C11" s="5"/>
      <c r="D11" s="28"/>
      <c r="E11" s="34" t="n">
        <f aca="false">IFERROR(D11*1.95583,"")</f>
        <v>0</v>
      </c>
      <c r="F11" s="5"/>
      <c r="G11" s="29"/>
      <c r="H11" s="5"/>
      <c r="I11" s="5"/>
    </row>
    <row r="12" customFormat="false" ht="19.5" hidden="false" customHeight="true" outlineLevel="0" collapsed="false">
      <c r="A12" s="35" t="n">
        <v>6</v>
      </c>
      <c r="B12" s="27"/>
      <c r="C12" s="5"/>
      <c r="D12" s="28"/>
      <c r="E12" s="34" t="n">
        <f aca="false">IFERROR(D12*1.95583,"")</f>
        <v>0</v>
      </c>
      <c r="F12" s="5"/>
      <c r="G12" s="29"/>
      <c r="H12" s="5"/>
      <c r="I12" s="5"/>
    </row>
    <row r="13" customFormat="false" ht="19.5" hidden="false" customHeight="true" outlineLevel="0" collapsed="false">
      <c r="A13" s="33" t="n">
        <v>7</v>
      </c>
      <c r="B13" s="27"/>
      <c r="C13" s="5"/>
      <c r="D13" s="28"/>
      <c r="E13" s="34" t="n">
        <f aca="false">IFERROR(D13*1.95583,"")</f>
        <v>0</v>
      </c>
      <c r="F13" s="5"/>
      <c r="G13" s="29"/>
      <c r="H13" s="5"/>
      <c r="I13" s="5"/>
    </row>
    <row r="14" customFormat="false" ht="19.5" hidden="false" customHeight="true" outlineLevel="0" collapsed="false">
      <c r="A14" s="35" t="n">
        <v>8</v>
      </c>
      <c r="B14" s="27"/>
      <c r="C14" s="5"/>
      <c r="D14" s="28"/>
      <c r="E14" s="34" t="n">
        <f aca="false">IFERROR(D14*1.95583,"")</f>
        <v>0</v>
      </c>
      <c r="F14" s="5"/>
      <c r="G14" s="29"/>
      <c r="H14" s="5"/>
      <c r="I14" s="5"/>
    </row>
    <row r="15" customFormat="false" ht="19.5" hidden="false" customHeight="true" outlineLevel="0" collapsed="false">
      <c r="A15" s="33" t="n">
        <v>9</v>
      </c>
      <c r="B15" s="27"/>
      <c r="C15" s="5"/>
      <c r="D15" s="28"/>
      <c r="E15" s="34" t="n">
        <f aca="false">IFERROR(D15*1.95583,"")</f>
        <v>0</v>
      </c>
      <c r="F15" s="5"/>
      <c r="G15" s="29"/>
      <c r="H15" s="5"/>
      <c r="I15" s="5"/>
    </row>
    <row r="16" customFormat="false" ht="19.5" hidden="false" customHeight="true" outlineLevel="0" collapsed="false">
      <c r="A16" s="35" t="n">
        <v>10</v>
      </c>
      <c r="B16" s="27"/>
      <c r="C16" s="5"/>
      <c r="D16" s="28"/>
      <c r="E16" s="34" t="n">
        <f aca="false">IFERROR(D16*1.95583,"")</f>
        <v>0</v>
      </c>
      <c r="F16" s="5"/>
      <c r="G16" s="29"/>
      <c r="H16" s="5"/>
      <c r="I16" s="5"/>
    </row>
    <row r="17" customFormat="false" ht="19.5" hidden="false" customHeight="true" outlineLevel="0" collapsed="false">
      <c r="A17" s="33" t="n">
        <v>11</v>
      </c>
      <c r="B17" s="27"/>
      <c r="C17" s="5"/>
      <c r="D17" s="28"/>
      <c r="E17" s="34" t="n">
        <f aca="false">IFERROR(D17*1.95583,"")</f>
        <v>0</v>
      </c>
      <c r="F17" s="5"/>
      <c r="G17" s="29"/>
      <c r="H17" s="5"/>
      <c r="I17" s="5"/>
    </row>
    <row r="18" customFormat="false" ht="19.5" hidden="false" customHeight="true" outlineLevel="0" collapsed="false">
      <c r="A18" s="35" t="n">
        <v>12</v>
      </c>
      <c r="B18" s="27"/>
      <c r="C18" s="5"/>
      <c r="D18" s="28"/>
      <c r="E18" s="34" t="n">
        <f aca="false">IFERROR(D18*1.95583,"")</f>
        <v>0</v>
      </c>
      <c r="F18" s="5"/>
      <c r="G18" s="29"/>
      <c r="H18" s="5"/>
      <c r="I18" s="5"/>
    </row>
    <row r="19" customFormat="false" ht="19.5" hidden="false" customHeight="true" outlineLevel="0" collapsed="false">
      <c r="A19" s="33" t="n">
        <v>13</v>
      </c>
      <c r="B19" s="27"/>
      <c r="C19" s="5"/>
      <c r="D19" s="28"/>
      <c r="E19" s="34" t="n">
        <f aca="false">IFERROR(D19*1.95583,"")</f>
        <v>0</v>
      </c>
      <c r="F19" s="5"/>
      <c r="G19" s="29"/>
      <c r="H19" s="5"/>
      <c r="I19" s="5"/>
    </row>
    <row r="20" customFormat="false" ht="19.5" hidden="false" customHeight="true" outlineLevel="0" collapsed="false">
      <c r="A20" s="35" t="n">
        <v>14</v>
      </c>
      <c r="B20" s="27"/>
      <c r="C20" s="5"/>
      <c r="D20" s="28"/>
      <c r="E20" s="34" t="n">
        <f aca="false">IFERROR(D20*1.95583,"")</f>
        <v>0</v>
      </c>
      <c r="F20" s="5"/>
      <c r="G20" s="29"/>
      <c r="H20" s="5"/>
      <c r="I20" s="5"/>
    </row>
    <row r="21" customFormat="false" ht="19.5" hidden="false" customHeight="true" outlineLevel="0" collapsed="false">
      <c r="A21" s="33" t="n">
        <v>15</v>
      </c>
      <c r="B21" s="27"/>
      <c r="C21" s="5"/>
      <c r="D21" s="28"/>
      <c r="E21" s="34" t="n">
        <f aca="false">IFERROR(D21*1.95583,"")</f>
        <v>0</v>
      </c>
      <c r="F21" s="5"/>
      <c r="G21" s="29"/>
      <c r="H21" s="5"/>
      <c r="I21" s="5"/>
    </row>
    <row r="22" customFormat="false" ht="19.5" hidden="false" customHeight="true" outlineLevel="0" collapsed="false">
      <c r="A22" s="35" t="n">
        <v>16</v>
      </c>
      <c r="B22" s="27"/>
      <c r="C22" s="5"/>
      <c r="D22" s="28"/>
      <c r="E22" s="34" t="n">
        <f aca="false">IFERROR(D22*1.95583,"")</f>
        <v>0</v>
      </c>
      <c r="F22" s="5"/>
      <c r="G22" s="29"/>
      <c r="H22" s="5"/>
      <c r="I22" s="5"/>
    </row>
    <row r="23" customFormat="false" ht="19.5" hidden="false" customHeight="true" outlineLevel="0" collapsed="false">
      <c r="A23" s="33" t="n">
        <v>17</v>
      </c>
      <c r="B23" s="27"/>
      <c r="C23" s="5"/>
      <c r="D23" s="28"/>
      <c r="E23" s="34" t="n">
        <f aca="false">IFERROR(D23*1.95583,"")</f>
        <v>0</v>
      </c>
      <c r="F23" s="5"/>
      <c r="G23" s="29"/>
      <c r="H23" s="5"/>
      <c r="I23" s="5"/>
    </row>
    <row r="24" customFormat="false" ht="19.5" hidden="false" customHeight="true" outlineLevel="0" collapsed="false">
      <c r="A24" s="35" t="n">
        <v>18</v>
      </c>
      <c r="B24" s="27"/>
      <c r="C24" s="5"/>
      <c r="D24" s="28"/>
      <c r="E24" s="34" t="n">
        <f aca="false">IFERROR(D24*1.95583,"")</f>
        <v>0</v>
      </c>
      <c r="F24" s="5"/>
      <c r="G24" s="29"/>
      <c r="H24" s="5"/>
      <c r="I24" s="5"/>
    </row>
    <row r="25" customFormat="false" ht="19.5" hidden="false" customHeight="true" outlineLevel="0" collapsed="false">
      <c r="A25" s="33" t="n">
        <v>19</v>
      </c>
      <c r="B25" s="27"/>
      <c r="C25" s="5"/>
      <c r="D25" s="28"/>
      <c r="E25" s="34" t="n">
        <f aca="false">IFERROR(D25*1.95583,"")</f>
        <v>0</v>
      </c>
      <c r="F25" s="5"/>
      <c r="G25" s="29"/>
      <c r="H25" s="5"/>
      <c r="I25" s="5"/>
    </row>
    <row r="26" customFormat="false" ht="19.5" hidden="false" customHeight="true" outlineLevel="0" collapsed="false">
      <c r="A26" s="35" t="n">
        <v>20</v>
      </c>
      <c r="B26" s="27"/>
      <c r="C26" s="5"/>
      <c r="D26" s="28"/>
      <c r="E26" s="34" t="n">
        <f aca="false">IFERROR(D26*1.95583,"")</f>
        <v>0</v>
      </c>
      <c r="F26" s="5"/>
      <c r="G26" s="29"/>
      <c r="H26" s="5"/>
      <c r="I26" s="5"/>
    </row>
    <row r="27" customFormat="false" ht="19.5" hidden="false" customHeight="true" outlineLevel="0" collapsed="false">
      <c r="A27" s="33" t="n">
        <v>21</v>
      </c>
      <c r="B27" s="27"/>
      <c r="C27" s="5"/>
      <c r="D27" s="28"/>
      <c r="E27" s="34" t="n">
        <f aca="false">IFERROR(D27*1.95583,"")</f>
        <v>0</v>
      </c>
      <c r="F27" s="5"/>
      <c r="G27" s="29"/>
      <c r="H27" s="5"/>
      <c r="I27" s="5"/>
    </row>
    <row r="28" customFormat="false" ht="19.5" hidden="false" customHeight="true" outlineLevel="0" collapsed="false">
      <c r="A28" s="35" t="n">
        <v>22</v>
      </c>
      <c r="B28" s="27"/>
      <c r="C28" s="5"/>
      <c r="D28" s="28"/>
      <c r="E28" s="34" t="n">
        <f aca="false">IFERROR(D28*1.95583,"")</f>
        <v>0</v>
      </c>
      <c r="F28" s="5"/>
      <c r="G28" s="29"/>
      <c r="H28" s="5"/>
      <c r="I28" s="5"/>
    </row>
    <row r="29" customFormat="false" ht="19.5" hidden="false" customHeight="true" outlineLevel="0" collapsed="false">
      <c r="A29" s="33" t="n">
        <v>23</v>
      </c>
      <c r="B29" s="27"/>
      <c r="C29" s="5"/>
      <c r="D29" s="28"/>
      <c r="E29" s="34" t="n">
        <f aca="false">IFERROR(D29*1.95583,"")</f>
        <v>0</v>
      </c>
      <c r="F29" s="5"/>
      <c r="G29" s="29"/>
      <c r="H29" s="5"/>
      <c r="I29" s="5"/>
    </row>
    <row r="30" customFormat="false" ht="19.5" hidden="false" customHeight="true" outlineLevel="0" collapsed="false">
      <c r="A30" s="35" t="n">
        <v>24</v>
      </c>
      <c r="B30" s="27"/>
      <c r="C30" s="5"/>
      <c r="D30" s="28"/>
      <c r="E30" s="34" t="n">
        <f aca="false">IFERROR(D30*1.95583,"")</f>
        <v>0</v>
      </c>
      <c r="F30" s="5"/>
      <c r="G30" s="29"/>
      <c r="H30" s="5"/>
      <c r="I30" s="5"/>
    </row>
    <row r="31" customFormat="false" ht="19.5" hidden="false" customHeight="true" outlineLevel="0" collapsed="false">
      <c r="A31" s="33" t="n">
        <v>25</v>
      </c>
      <c r="B31" s="27"/>
      <c r="C31" s="5"/>
      <c r="D31" s="28"/>
      <c r="E31" s="34" t="n">
        <f aca="false">IFERROR(D31*1.95583,"")</f>
        <v>0</v>
      </c>
      <c r="F31" s="5"/>
      <c r="G31" s="29"/>
      <c r="H31" s="5"/>
      <c r="I31" s="5"/>
    </row>
    <row r="32" customFormat="false" ht="19.5" hidden="false" customHeight="true" outlineLevel="0" collapsed="false">
      <c r="A32" s="35" t="n">
        <v>26</v>
      </c>
      <c r="B32" s="27"/>
      <c r="C32" s="5"/>
      <c r="D32" s="28"/>
      <c r="E32" s="34" t="n">
        <f aca="false">IFERROR(D32*1.95583,"")</f>
        <v>0</v>
      </c>
      <c r="F32" s="5"/>
      <c r="G32" s="29"/>
      <c r="H32" s="5"/>
      <c r="I32" s="5"/>
    </row>
    <row r="33" customFormat="false" ht="19.5" hidden="false" customHeight="true" outlineLevel="0" collapsed="false">
      <c r="A33" s="33" t="n">
        <v>27</v>
      </c>
      <c r="B33" s="27"/>
      <c r="C33" s="5"/>
      <c r="D33" s="28"/>
      <c r="E33" s="34" t="n">
        <f aca="false">IFERROR(D33*1.95583,"")</f>
        <v>0</v>
      </c>
      <c r="F33" s="5"/>
      <c r="G33" s="29"/>
      <c r="H33" s="5"/>
      <c r="I33" s="5"/>
    </row>
    <row r="34" customFormat="false" ht="19.5" hidden="false" customHeight="true" outlineLevel="0" collapsed="false">
      <c r="A34" s="35" t="n">
        <v>28</v>
      </c>
      <c r="B34" s="27"/>
      <c r="C34" s="5"/>
      <c r="D34" s="28"/>
      <c r="E34" s="34" t="n">
        <f aca="false">IFERROR(D34*1.95583,"")</f>
        <v>0</v>
      </c>
      <c r="F34" s="5"/>
      <c r="G34" s="29"/>
      <c r="H34" s="5"/>
      <c r="I34" s="5"/>
    </row>
    <row r="35" customFormat="false" ht="19.5" hidden="false" customHeight="true" outlineLevel="0" collapsed="false">
      <c r="A35" s="33" t="n">
        <v>29</v>
      </c>
      <c r="B35" s="27"/>
      <c r="C35" s="5"/>
      <c r="D35" s="28"/>
      <c r="E35" s="34" t="n">
        <f aca="false">IFERROR(D35*1.95583,"")</f>
        <v>0</v>
      </c>
      <c r="F35" s="5"/>
      <c r="G35" s="29"/>
      <c r="H35" s="5"/>
      <c r="I35" s="5"/>
    </row>
    <row r="36" customFormat="false" ht="19.5" hidden="false" customHeight="true" outlineLevel="0" collapsed="false">
      <c r="A36" s="35" t="n">
        <v>30</v>
      </c>
      <c r="B36" s="27"/>
      <c r="C36" s="5"/>
      <c r="D36" s="28"/>
      <c r="E36" s="34" t="n">
        <f aca="false">IFERROR(D36*1.95583,"")</f>
        <v>0</v>
      </c>
      <c r="F36" s="5"/>
      <c r="G36" s="29"/>
      <c r="H36" s="5"/>
      <c r="I36" s="5"/>
    </row>
    <row r="37" customFormat="false" ht="19.5" hidden="false" customHeight="true" outlineLevel="0" collapsed="false">
      <c r="A37" s="33" t="n">
        <v>31</v>
      </c>
      <c r="B37" s="27"/>
      <c r="C37" s="5"/>
      <c r="D37" s="28"/>
      <c r="E37" s="34" t="n">
        <f aca="false">IFERROR(D37*1.95583,"")</f>
        <v>0</v>
      </c>
      <c r="F37" s="5"/>
      <c r="G37" s="29"/>
      <c r="H37" s="5"/>
      <c r="I37" s="5"/>
    </row>
    <row r="38" customFormat="false" ht="19.5" hidden="false" customHeight="true" outlineLevel="0" collapsed="false">
      <c r="A38" s="35" t="n">
        <v>32</v>
      </c>
      <c r="B38" s="27"/>
      <c r="C38" s="5"/>
      <c r="D38" s="28"/>
      <c r="E38" s="34" t="n">
        <f aca="false">IFERROR(D38*1.95583,"")</f>
        <v>0</v>
      </c>
      <c r="F38" s="5"/>
      <c r="G38" s="29"/>
      <c r="H38" s="5"/>
      <c r="I38" s="5"/>
    </row>
    <row r="39" customFormat="false" ht="19.5" hidden="false" customHeight="true" outlineLevel="0" collapsed="false">
      <c r="A39" s="33" t="n">
        <v>33</v>
      </c>
      <c r="B39" s="27"/>
      <c r="C39" s="5"/>
      <c r="D39" s="28"/>
      <c r="E39" s="34" t="n">
        <f aca="false">IFERROR(D39*1.95583,"")</f>
        <v>0</v>
      </c>
      <c r="F39" s="5"/>
      <c r="G39" s="29"/>
      <c r="H39" s="5"/>
      <c r="I39" s="5"/>
    </row>
    <row r="40" customFormat="false" ht="19.5" hidden="false" customHeight="true" outlineLevel="0" collapsed="false">
      <c r="A40" s="35" t="n">
        <v>34</v>
      </c>
      <c r="B40" s="27"/>
      <c r="C40" s="5"/>
      <c r="D40" s="28"/>
      <c r="E40" s="34" t="n">
        <f aca="false">IFERROR(D40*1.95583,"")</f>
        <v>0</v>
      </c>
      <c r="F40" s="5"/>
      <c r="G40" s="29"/>
      <c r="H40" s="5"/>
      <c r="I40" s="5"/>
    </row>
    <row r="41" customFormat="false" ht="19.5" hidden="false" customHeight="true" outlineLevel="0" collapsed="false">
      <c r="A41" s="33" t="n">
        <v>35</v>
      </c>
      <c r="B41" s="27"/>
      <c r="C41" s="5"/>
      <c r="D41" s="28"/>
      <c r="E41" s="34" t="n">
        <f aca="false">IFERROR(D41*1.95583,"")</f>
        <v>0</v>
      </c>
      <c r="F41" s="5"/>
      <c r="G41" s="29"/>
      <c r="H41" s="5"/>
      <c r="I41" s="5"/>
    </row>
    <row r="42" customFormat="false" ht="19.5" hidden="false" customHeight="true" outlineLevel="0" collapsed="false">
      <c r="A42" s="35" t="n">
        <v>36</v>
      </c>
      <c r="B42" s="27"/>
      <c r="C42" s="5"/>
      <c r="D42" s="28"/>
      <c r="E42" s="34" t="n">
        <f aca="false">IFERROR(D42*1.95583,"")</f>
        <v>0</v>
      </c>
      <c r="F42" s="5"/>
      <c r="G42" s="29"/>
      <c r="H42" s="5"/>
      <c r="I42" s="5"/>
    </row>
    <row r="43" customFormat="false" ht="19.5" hidden="false" customHeight="true" outlineLevel="0" collapsed="false">
      <c r="A43" s="33" t="n">
        <v>37</v>
      </c>
      <c r="B43" s="27"/>
      <c r="C43" s="5"/>
      <c r="D43" s="28"/>
      <c r="E43" s="34" t="n">
        <f aca="false">IFERROR(D43*1.95583,"")</f>
        <v>0</v>
      </c>
      <c r="F43" s="5"/>
      <c r="G43" s="29"/>
      <c r="H43" s="5"/>
      <c r="I43" s="5"/>
    </row>
    <row r="44" customFormat="false" ht="19.5" hidden="false" customHeight="true" outlineLevel="0" collapsed="false">
      <c r="A44" s="35" t="n">
        <v>38</v>
      </c>
      <c r="B44" s="27"/>
      <c r="C44" s="5"/>
      <c r="D44" s="28"/>
      <c r="E44" s="34" t="n">
        <f aca="false">IFERROR(D44*1.95583,"")</f>
        <v>0</v>
      </c>
      <c r="F44" s="5"/>
      <c r="G44" s="29"/>
      <c r="H44" s="5"/>
      <c r="I44" s="5"/>
    </row>
    <row r="45" customFormat="false" ht="19.5" hidden="false" customHeight="true" outlineLevel="0" collapsed="false">
      <c r="A45" s="33" t="n">
        <v>39</v>
      </c>
      <c r="B45" s="27"/>
      <c r="C45" s="5"/>
      <c r="D45" s="28"/>
      <c r="E45" s="34" t="n">
        <f aca="false">IFERROR(D45*1.95583,"")</f>
        <v>0</v>
      </c>
      <c r="F45" s="5"/>
      <c r="G45" s="29"/>
      <c r="H45" s="5"/>
      <c r="I45" s="5"/>
    </row>
    <row r="46" customFormat="false" ht="19.5" hidden="false" customHeight="true" outlineLevel="0" collapsed="false">
      <c r="A46" s="35" t="n">
        <v>40</v>
      </c>
      <c r="B46" s="27"/>
      <c r="C46" s="5"/>
      <c r="D46" s="28"/>
      <c r="E46" s="34" t="n">
        <f aca="false">IFERROR(D46*1.95583,"")</f>
        <v>0</v>
      </c>
      <c r="F46" s="5"/>
      <c r="G46" s="29"/>
      <c r="H46" s="5"/>
      <c r="I46" s="5"/>
    </row>
    <row r="47" customFormat="false" ht="19.5" hidden="false" customHeight="true" outlineLevel="0" collapsed="false">
      <c r="A47" s="33" t="n">
        <v>41</v>
      </c>
      <c r="B47" s="27"/>
      <c r="C47" s="5"/>
      <c r="D47" s="28"/>
      <c r="E47" s="34" t="n">
        <f aca="false">IFERROR(D47*1.95583,"")</f>
        <v>0</v>
      </c>
      <c r="F47" s="5"/>
      <c r="G47" s="29"/>
      <c r="H47" s="5"/>
      <c r="I47" s="5"/>
    </row>
    <row r="48" customFormat="false" ht="19.5" hidden="false" customHeight="true" outlineLevel="0" collapsed="false">
      <c r="A48" s="35" t="n">
        <v>42</v>
      </c>
      <c r="B48" s="27"/>
      <c r="C48" s="5"/>
      <c r="D48" s="28"/>
      <c r="E48" s="34" t="n">
        <f aca="false">IFERROR(D48*1.95583,"")</f>
        <v>0</v>
      </c>
      <c r="F48" s="5"/>
      <c r="G48" s="29"/>
      <c r="H48" s="5"/>
      <c r="I48" s="5"/>
    </row>
    <row r="49" customFormat="false" ht="19.5" hidden="false" customHeight="true" outlineLevel="0" collapsed="false">
      <c r="A49" s="33" t="n">
        <v>43</v>
      </c>
      <c r="B49" s="27"/>
      <c r="C49" s="5"/>
      <c r="D49" s="28"/>
      <c r="E49" s="34" t="n">
        <f aca="false">IFERROR(D49*1.95583,"")</f>
        <v>0</v>
      </c>
      <c r="F49" s="5"/>
      <c r="G49" s="29"/>
      <c r="H49" s="5"/>
      <c r="I49" s="5"/>
    </row>
    <row r="50" customFormat="false" ht="19.5" hidden="false" customHeight="true" outlineLevel="0" collapsed="false">
      <c r="A50" s="35" t="n">
        <v>44</v>
      </c>
      <c r="B50" s="27"/>
      <c r="C50" s="5"/>
      <c r="D50" s="28"/>
      <c r="E50" s="34" t="n">
        <f aca="false">IFERROR(D50*1.95583,"")</f>
        <v>0</v>
      </c>
      <c r="F50" s="5"/>
      <c r="G50" s="29"/>
      <c r="H50" s="5"/>
      <c r="I50" s="5"/>
    </row>
    <row r="51" customFormat="false" ht="19.5" hidden="false" customHeight="true" outlineLevel="0" collapsed="false">
      <c r="A51" s="33" t="n">
        <v>45</v>
      </c>
      <c r="B51" s="27"/>
      <c r="C51" s="5"/>
      <c r="D51" s="28"/>
      <c r="E51" s="34" t="n">
        <f aca="false">IFERROR(D51*1.95583,"")</f>
        <v>0</v>
      </c>
      <c r="F51" s="5"/>
      <c r="G51" s="29"/>
      <c r="H51" s="5"/>
      <c r="I51" s="5"/>
    </row>
    <row r="52" customFormat="false" ht="19.5" hidden="false" customHeight="true" outlineLevel="0" collapsed="false">
      <c r="A52" s="35" t="n">
        <v>46</v>
      </c>
      <c r="B52" s="27"/>
      <c r="C52" s="5"/>
      <c r="D52" s="28"/>
      <c r="E52" s="34" t="n">
        <f aca="false">IFERROR(D52*1.95583,"")</f>
        <v>0</v>
      </c>
      <c r="F52" s="5"/>
      <c r="G52" s="29"/>
      <c r="H52" s="5"/>
      <c r="I52" s="5"/>
    </row>
    <row r="53" customFormat="false" ht="19.5" hidden="false" customHeight="true" outlineLevel="0" collapsed="false">
      <c r="A53" s="33" t="n">
        <v>47</v>
      </c>
      <c r="B53" s="27"/>
      <c r="C53" s="5"/>
      <c r="D53" s="28"/>
      <c r="E53" s="34" t="n">
        <f aca="false">IFERROR(D53*1.95583,"")</f>
        <v>0</v>
      </c>
      <c r="F53" s="5"/>
      <c r="G53" s="29"/>
      <c r="H53" s="5"/>
      <c r="I53" s="5"/>
    </row>
    <row r="54" customFormat="false" ht="19.5" hidden="false" customHeight="true" outlineLevel="0" collapsed="false">
      <c r="A54" s="35" t="n">
        <v>48</v>
      </c>
      <c r="B54" s="27"/>
      <c r="C54" s="5"/>
      <c r="D54" s="28"/>
      <c r="E54" s="34" t="n">
        <f aca="false">IFERROR(D54*1.95583,"")</f>
        <v>0</v>
      </c>
      <c r="F54" s="5"/>
      <c r="G54" s="29"/>
      <c r="H54" s="5"/>
      <c r="I54" s="5"/>
    </row>
    <row r="55" customFormat="false" ht="19.5" hidden="false" customHeight="true" outlineLevel="0" collapsed="false">
      <c r="A55" s="33" t="n">
        <v>49</v>
      </c>
      <c r="B55" s="27"/>
      <c r="C55" s="5"/>
      <c r="D55" s="28"/>
      <c r="E55" s="34" t="n">
        <f aca="false">IFERROR(D55*1.95583,"")</f>
        <v>0</v>
      </c>
      <c r="F55" s="5"/>
      <c r="G55" s="29"/>
      <c r="H55" s="5"/>
      <c r="I55" s="5"/>
    </row>
    <row r="56" customFormat="false" ht="19.5" hidden="false" customHeight="true" outlineLevel="0" collapsed="false">
      <c r="A56" s="35" t="n">
        <v>50</v>
      </c>
      <c r="B56" s="27"/>
      <c r="C56" s="5"/>
      <c r="D56" s="28"/>
      <c r="E56" s="34" t="n">
        <f aca="false">IFERROR(D56*1.95583,"")</f>
        <v>0</v>
      </c>
      <c r="F56" s="5"/>
      <c r="G56" s="29"/>
      <c r="H56" s="5"/>
      <c r="I56" s="5"/>
    </row>
    <row r="57" customFormat="false" ht="19.5" hidden="false" customHeight="true" outlineLevel="0" collapsed="false">
      <c r="A57" s="33" t="n">
        <v>51</v>
      </c>
      <c r="B57" s="27"/>
      <c r="C57" s="5"/>
      <c r="D57" s="28"/>
      <c r="E57" s="34" t="n">
        <f aca="false">IFERROR(D57*1.95583,"")</f>
        <v>0</v>
      </c>
      <c r="F57" s="5"/>
      <c r="G57" s="29"/>
      <c r="H57" s="5"/>
      <c r="I57" s="5"/>
    </row>
    <row r="58" customFormat="false" ht="19.5" hidden="false" customHeight="true" outlineLevel="0" collapsed="false">
      <c r="A58" s="35" t="n">
        <v>52</v>
      </c>
      <c r="B58" s="27"/>
      <c r="C58" s="5"/>
      <c r="D58" s="28"/>
      <c r="E58" s="34" t="n">
        <f aca="false">IFERROR(D58*1.95583,"")</f>
        <v>0</v>
      </c>
      <c r="F58" s="5"/>
      <c r="G58" s="29"/>
      <c r="H58" s="5"/>
      <c r="I58" s="5"/>
    </row>
    <row r="59" customFormat="false" ht="19.5" hidden="false" customHeight="true" outlineLevel="0" collapsed="false">
      <c r="A59" s="33" t="n">
        <v>53</v>
      </c>
      <c r="B59" s="27"/>
      <c r="C59" s="5"/>
      <c r="D59" s="28"/>
      <c r="E59" s="34" t="n">
        <f aca="false">IFERROR(D59*1.95583,"")</f>
        <v>0</v>
      </c>
      <c r="F59" s="5"/>
      <c r="G59" s="29"/>
      <c r="H59" s="5"/>
      <c r="I59" s="5"/>
    </row>
    <row r="60" customFormat="false" ht="19.5" hidden="false" customHeight="true" outlineLevel="0" collapsed="false">
      <c r="A60" s="35" t="n">
        <v>54</v>
      </c>
      <c r="B60" s="27"/>
      <c r="C60" s="5"/>
      <c r="D60" s="28"/>
      <c r="E60" s="34" t="n">
        <f aca="false">IFERROR(D60*1.95583,"")</f>
        <v>0</v>
      </c>
      <c r="F60" s="5"/>
      <c r="G60" s="29"/>
      <c r="H60" s="5"/>
      <c r="I60" s="5"/>
    </row>
    <row r="61" customFormat="false" ht="19.5" hidden="false" customHeight="true" outlineLevel="0" collapsed="false">
      <c r="A61" s="33" t="n">
        <v>55</v>
      </c>
      <c r="B61" s="27"/>
      <c r="C61" s="5"/>
      <c r="D61" s="28"/>
      <c r="E61" s="34" t="n">
        <f aca="false">IFERROR(D61*1.95583,"")</f>
        <v>0</v>
      </c>
      <c r="F61" s="5"/>
      <c r="G61" s="29"/>
      <c r="H61" s="5"/>
      <c r="I61" s="5"/>
    </row>
    <row r="62" customFormat="false" ht="19.5" hidden="false" customHeight="true" outlineLevel="0" collapsed="false">
      <c r="A62" s="35" t="n">
        <v>56</v>
      </c>
      <c r="B62" s="27"/>
      <c r="C62" s="5"/>
      <c r="D62" s="28"/>
      <c r="E62" s="34" t="n">
        <f aca="false">IFERROR(D62*1.95583,"")</f>
        <v>0</v>
      </c>
      <c r="F62" s="5"/>
      <c r="G62" s="29"/>
      <c r="H62" s="5"/>
      <c r="I62" s="5"/>
    </row>
    <row r="63" customFormat="false" ht="19.5" hidden="false" customHeight="true" outlineLevel="0" collapsed="false">
      <c r="A63" s="33" t="n">
        <v>57</v>
      </c>
      <c r="B63" s="27"/>
      <c r="C63" s="5"/>
      <c r="D63" s="28"/>
      <c r="E63" s="34" t="n">
        <f aca="false">IFERROR(D63*1.95583,"")</f>
        <v>0</v>
      </c>
      <c r="F63" s="5"/>
      <c r="G63" s="29"/>
      <c r="H63" s="5"/>
      <c r="I63" s="5"/>
    </row>
    <row r="64" customFormat="false" ht="19.5" hidden="false" customHeight="true" outlineLevel="0" collapsed="false">
      <c r="A64" s="35" t="n">
        <v>58</v>
      </c>
      <c r="B64" s="27"/>
      <c r="C64" s="5"/>
      <c r="D64" s="28"/>
      <c r="E64" s="34" t="n">
        <f aca="false">IFERROR(D64*1.95583,"")</f>
        <v>0</v>
      </c>
      <c r="F64" s="5"/>
      <c r="G64" s="29"/>
      <c r="H64" s="5"/>
      <c r="I64" s="5"/>
    </row>
    <row r="65" customFormat="false" ht="19.5" hidden="false" customHeight="true" outlineLevel="0" collapsed="false">
      <c r="A65" s="33" t="n">
        <v>59</v>
      </c>
      <c r="B65" s="27"/>
      <c r="C65" s="5"/>
      <c r="D65" s="28"/>
      <c r="E65" s="34" t="n">
        <f aca="false">IFERROR(D65*1.95583,"")</f>
        <v>0</v>
      </c>
      <c r="F65" s="5"/>
      <c r="G65" s="29"/>
      <c r="H65" s="5"/>
      <c r="I65" s="5"/>
    </row>
    <row r="66" customFormat="false" ht="19.5" hidden="false" customHeight="true" outlineLevel="0" collapsed="false">
      <c r="A66" s="35" t="n">
        <v>60</v>
      </c>
      <c r="B66" s="27"/>
      <c r="C66" s="5"/>
      <c r="D66" s="28"/>
      <c r="E66" s="34" t="n">
        <f aca="false">IFERROR(D66*1.95583,"")</f>
        <v>0</v>
      </c>
      <c r="F66" s="5"/>
      <c r="G66" s="29"/>
      <c r="H66" s="5"/>
      <c r="I66" s="5"/>
    </row>
  </sheetData>
  <mergeCells count="7">
    <mergeCell ref="A1:I1"/>
    <mergeCell ref="A2:I2"/>
    <mergeCell ref="A4:B4"/>
    <mergeCell ref="C4:D4"/>
    <mergeCell ref="E4:F4"/>
    <mergeCell ref="G4:H4"/>
    <mergeCell ref="I4:J4"/>
  </mergeCells>
  <dataValidations count="2">
    <dataValidation allowBlank="true" errorStyle="stop" operator="between" showDropDown="false" showErrorMessage="false" showInputMessage="false" sqref="H7:H66" type="list">
      <formula1>"ЕСС,Данък имот,Застраховка,Ел. енергия,Вода,Отопление,Интернет/ТВ,Ремонт,Обзавеждане,Управление,Почистване,Административно,Друго"</formula1>
      <formula2>0</formula2>
    </dataValidation>
    <dataValidation allowBlank="true" errorStyle="stop" operator="between" showDropDown="false" showErrorMessage="false" showInputMessage="false" sqref="G7:G66" type="list">
      <formula1>"Банков превод,Кеш,Карта,Директен дебит"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J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9" min="7" style="0" width="14"/>
    <col collapsed="false" customWidth="true" hidden="false" outlineLevel="0" max="10" min="10" style="0" width="22"/>
  </cols>
  <sheetData>
    <row r="1" customFormat="false" ht="36" hidden="false" customHeight="true" outlineLevel="0" collapsed="false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174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6" t="s">
        <v>175</v>
      </c>
      <c r="B3" s="36"/>
      <c r="C3" s="36"/>
      <c r="D3" s="36" t="s">
        <v>176</v>
      </c>
      <c r="E3" s="36"/>
      <c r="F3" s="36"/>
      <c r="G3" s="36" t="s">
        <v>177</v>
      </c>
      <c r="H3" s="36"/>
      <c r="I3" s="36"/>
    </row>
    <row r="4" customFormat="false" ht="27.75" hidden="false" customHeight="true" outlineLevel="0" collapsed="false">
      <c r="A4" s="37" t="n">
        <f aca="false">IFERROR(SUM(F7:F200),0)</f>
        <v>0</v>
      </c>
      <c r="B4" s="37"/>
      <c r="C4" s="37"/>
      <c r="D4" s="38" t="n">
        <f aca="false">COUNTA(C7:C200)</f>
        <v>0</v>
      </c>
      <c r="E4" s="38"/>
      <c r="F4" s="38"/>
      <c r="G4" s="39" t="n">
        <f aca="false">IFERROR(MAX(B7:B200),"")</f>
        <v>0</v>
      </c>
      <c r="H4" s="39"/>
      <c r="I4" s="39"/>
    </row>
    <row r="5" customFormat="false" ht="7.5" hidden="false" customHeight="true" outlineLevel="0" collapsed="false"/>
    <row r="6" customFormat="false" ht="25.5" hidden="false" customHeight="true" outlineLevel="0" collapsed="false">
      <c r="A6" s="40" t="s">
        <v>137</v>
      </c>
      <c r="B6" s="40" t="s">
        <v>166</v>
      </c>
      <c r="C6" s="40" t="s">
        <v>178</v>
      </c>
      <c r="D6" s="40" t="s">
        <v>179</v>
      </c>
      <c r="E6" s="40" t="s">
        <v>180</v>
      </c>
      <c r="F6" s="40" t="s">
        <v>181</v>
      </c>
      <c r="G6" s="40" t="s">
        <v>182</v>
      </c>
      <c r="H6" s="40" t="s">
        <v>183</v>
      </c>
      <c r="I6" s="40" t="s">
        <v>184</v>
      </c>
      <c r="J6" s="40" t="s">
        <v>185</v>
      </c>
    </row>
    <row r="7" customFormat="false" ht="19.5" hidden="false" customHeight="true" outlineLevel="0" collapsed="false">
      <c r="A7" s="41" t="n">
        <v>1</v>
      </c>
      <c r="B7" s="27"/>
      <c r="C7" s="5"/>
      <c r="D7" s="5"/>
      <c r="E7" s="28"/>
      <c r="F7" s="28"/>
      <c r="G7" s="42" t="n">
        <f aca="false">IFERROR(E7+F7,0)</f>
        <v>0</v>
      </c>
      <c r="H7" s="27"/>
      <c r="I7" s="29"/>
      <c r="J7" s="5"/>
    </row>
    <row r="8" customFormat="false" ht="19.5" hidden="false" customHeight="true" outlineLevel="0" collapsed="false">
      <c r="A8" s="43" t="n">
        <v>2</v>
      </c>
      <c r="B8" s="27"/>
      <c r="C8" s="5"/>
      <c r="D8" s="5"/>
      <c r="E8" s="28"/>
      <c r="F8" s="28"/>
      <c r="G8" s="42" t="n">
        <f aca="false">IFERROR(E8+F8,0)</f>
        <v>0</v>
      </c>
      <c r="H8" s="27"/>
      <c r="I8" s="29"/>
      <c r="J8" s="5"/>
    </row>
    <row r="9" customFormat="false" ht="19.5" hidden="false" customHeight="true" outlineLevel="0" collapsed="false">
      <c r="A9" s="41" t="n">
        <v>3</v>
      </c>
      <c r="B9" s="27"/>
      <c r="C9" s="5"/>
      <c r="D9" s="5"/>
      <c r="E9" s="28"/>
      <c r="F9" s="28"/>
      <c r="G9" s="42" t="n">
        <f aca="false">IFERROR(E9+F9,0)</f>
        <v>0</v>
      </c>
      <c r="H9" s="27"/>
      <c r="I9" s="29"/>
      <c r="J9" s="5"/>
    </row>
    <row r="10" customFormat="false" ht="19.5" hidden="false" customHeight="true" outlineLevel="0" collapsed="false">
      <c r="A10" s="43" t="n">
        <v>4</v>
      </c>
      <c r="B10" s="27"/>
      <c r="C10" s="5"/>
      <c r="D10" s="5"/>
      <c r="E10" s="28"/>
      <c r="F10" s="28"/>
      <c r="G10" s="42" t="n">
        <f aca="false">IFERROR(E10+F10,0)</f>
        <v>0</v>
      </c>
      <c r="H10" s="27"/>
      <c r="I10" s="29"/>
      <c r="J10" s="5"/>
    </row>
    <row r="11" customFormat="false" ht="19.5" hidden="false" customHeight="true" outlineLevel="0" collapsed="false">
      <c r="A11" s="41" t="n">
        <v>5</v>
      </c>
      <c r="B11" s="27"/>
      <c r="C11" s="5"/>
      <c r="D11" s="5"/>
      <c r="E11" s="28"/>
      <c r="F11" s="28"/>
      <c r="G11" s="42" t="n">
        <f aca="false">IFERROR(E11+F11,0)</f>
        <v>0</v>
      </c>
      <c r="H11" s="27"/>
      <c r="I11" s="29"/>
      <c r="J11" s="5"/>
    </row>
    <row r="12" customFormat="false" ht="19.5" hidden="false" customHeight="true" outlineLevel="0" collapsed="false">
      <c r="A12" s="43" t="n">
        <v>6</v>
      </c>
      <c r="B12" s="27"/>
      <c r="C12" s="5"/>
      <c r="D12" s="5"/>
      <c r="E12" s="28"/>
      <c r="F12" s="28"/>
      <c r="G12" s="42" t="n">
        <f aca="false">IFERROR(E12+F12,0)</f>
        <v>0</v>
      </c>
      <c r="H12" s="27"/>
      <c r="I12" s="29"/>
      <c r="J12" s="5"/>
    </row>
    <row r="13" customFormat="false" ht="19.5" hidden="false" customHeight="true" outlineLevel="0" collapsed="false">
      <c r="A13" s="41" t="n">
        <v>7</v>
      </c>
      <c r="B13" s="27"/>
      <c r="C13" s="5"/>
      <c r="D13" s="5"/>
      <c r="E13" s="28"/>
      <c r="F13" s="28"/>
      <c r="G13" s="42" t="n">
        <f aca="false">IFERROR(E13+F13,0)</f>
        <v>0</v>
      </c>
      <c r="H13" s="27"/>
      <c r="I13" s="29"/>
      <c r="J13" s="5"/>
    </row>
    <row r="14" customFormat="false" ht="19.5" hidden="false" customHeight="true" outlineLevel="0" collapsed="false">
      <c r="A14" s="43" t="n">
        <v>8</v>
      </c>
      <c r="B14" s="27"/>
      <c r="C14" s="5"/>
      <c r="D14" s="5"/>
      <c r="E14" s="28"/>
      <c r="F14" s="28"/>
      <c r="G14" s="42" t="n">
        <f aca="false">IFERROR(E14+F14,0)</f>
        <v>0</v>
      </c>
      <c r="H14" s="27"/>
      <c r="I14" s="29"/>
      <c r="J14" s="5"/>
    </row>
    <row r="15" customFormat="false" ht="19.5" hidden="false" customHeight="true" outlineLevel="0" collapsed="false">
      <c r="A15" s="41" t="n">
        <v>9</v>
      </c>
      <c r="B15" s="27"/>
      <c r="C15" s="5"/>
      <c r="D15" s="5"/>
      <c r="E15" s="28"/>
      <c r="F15" s="28"/>
      <c r="G15" s="42" t="n">
        <f aca="false">IFERROR(E15+F15,0)</f>
        <v>0</v>
      </c>
      <c r="H15" s="27"/>
      <c r="I15" s="29"/>
      <c r="J15" s="5"/>
    </row>
    <row r="16" customFormat="false" ht="19.5" hidden="false" customHeight="true" outlineLevel="0" collapsed="false">
      <c r="A16" s="43" t="n">
        <v>10</v>
      </c>
      <c r="B16" s="27"/>
      <c r="C16" s="5"/>
      <c r="D16" s="5"/>
      <c r="E16" s="28"/>
      <c r="F16" s="28"/>
      <c r="G16" s="42" t="n">
        <f aca="false">IFERROR(E16+F16,0)</f>
        <v>0</v>
      </c>
      <c r="H16" s="27"/>
      <c r="I16" s="29"/>
      <c r="J16" s="5"/>
    </row>
    <row r="17" customFormat="false" ht="19.5" hidden="false" customHeight="true" outlineLevel="0" collapsed="false">
      <c r="A17" s="41" t="n">
        <v>11</v>
      </c>
      <c r="B17" s="27"/>
      <c r="C17" s="5"/>
      <c r="D17" s="5"/>
      <c r="E17" s="28"/>
      <c r="F17" s="28"/>
      <c r="G17" s="42" t="n">
        <f aca="false">IFERROR(E17+F17,0)</f>
        <v>0</v>
      </c>
      <c r="H17" s="27"/>
      <c r="I17" s="29"/>
      <c r="J17" s="5"/>
    </row>
    <row r="18" customFormat="false" ht="19.5" hidden="false" customHeight="true" outlineLevel="0" collapsed="false">
      <c r="A18" s="43" t="n">
        <v>12</v>
      </c>
      <c r="B18" s="27"/>
      <c r="C18" s="5"/>
      <c r="D18" s="5"/>
      <c r="E18" s="28"/>
      <c r="F18" s="28"/>
      <c r="G18" s="42" t="n">
        <f aca="false">IFERROR(E18+F18,0)</f>
        <v>0</v>
      </c>
      <c r="H18" s="27"/>
      <c r="I18" s="29"/>
      <c r="J18" s="5"/>
    </row>
    <row r="19" customFormat="false" ht="19.5" hidden="false" customHeight="true" outlineLevel="0" collapsed="false">
      <c r="A19" s="41" t="n">
        <v>13</v>
      </c>
      <c r="B19" s="27"/>
      <c r="C19" s="5"/>
      <c r="D19" s="5"/>
      <c r="E19" s="28"/>
      <c r="F19" s="28"/>
      <c r="G19" s="42" t="n">
        <f aca="false">IFERROR(E19+F19,0)</f>
        <v>0</v>
      </c>
      <c r="H19" s="27"/>
      <c r="I19" s="29"/>
      <c r="J19" s="5"/>
    </row>
    <row r="20" customFormat="false" ht="19.5" hidden="false" customHeight="true" outlineLevel="0" collapsed="false">
      <c r="A20" s="43" t="n">
        <v>14</v>
      </c>
      <c r="B20" s="27"/>
      <c r="C20" s="5"/>
      <c r="D20" s="5"/>
      <c r="E20" s="28"/>
      <c r="F20" s="28"/>
      <c r="G20" s="42" t="n">
        <f aca="false">IFERROR(E20+F20,0)</f>
        <v>0</v>
      </c>
      <c r="H20" s="27"/>
      <c r="I20" s="29"/>
      <c r="J20" s="5"/>
    </row>
    <row r="21" customFormat="false" ht="19.5" hidden="false" customHeight="true" outlineLevel="0" collapsed="false">
      <c r="A21" s="41" t="n">
        <v>15</v>
      </c>
      <c r="B21" s="27"/>
      <c r="C21" s="5"/>
      <c r="D21" s="5"/>
      <c r="E21" s="28"/>
      <c r="F21" s="28"/>
      <c r="G21" s="42" t="n">
        <f aca="false">IFERROR(E21+F21,0)</f>
        <v>0</v>
      </c>
      <c r="H21" s="27"/>
      <c r="I21" s="29"/>
      <c r="J21" s="5"/>
    </row>
    <row r="22" customFormat="false" ht="19.5" hidden="false" customHeight="true" outlineLevel="0" collapsed="false">
      <c r="A22" s="43" t="n">
        <v>16</v>
      </c>
      <c r="B22" s="27"/>
      <c r="C22" s="5"/>
      <c r="D22" s="5"/>
      <c r="E22" s="28"/>
      <c r="F22" s="28"/>
      <c r="G22" s="42" t="n">
        <f aca="false">IFERROR(E22+F22,0)</f>
        <v>0</v>
      </c>
      <c r="H22" s="27"/>
      <c r="I22" s="29"/>
      <c r="J22" s="5"/>
    </row>
    <row r="23" customFormat="false" ht="19.5" hidden="false" customHeight="true" outlineLevel="0" collapsed="false">
      <c r="A23" s="41" t="n">
        <v>17</v>
      </c>
      <c r="B23" s="27"/>
      <c r="C23" s="5"/>
      <c r="D23" s="5"/>
      <c r="E23" s="28"/>
      <c r="F23" s="28"/>
      <c r="G23" s="42" t="n">
        <f aca="false">IFERROR(E23+F23,0)</f>
        <v>0</v>
      </c>
      <c r="H23" s="27"/>
      <c r="I23" s="29"/>
      <c r="J23" s="5"/>
    </row>
    <row r="24" customFormat="false" ht="19.5" hidden="false" customHeight="true" outlineLevel="0" collapsed="false">
      <c r="A24" s="43" t="n">
        <v>18</v>
      </c>
      <c r="B24" s="27"/>
      <c r="C24" s="5"/>
      <c r="D24" s="5"/>
      <c r="E24" s="28"/>
      <c r="F24" s="28"/>
      <c r="G24" s="42" t="n">
        <f aca="false">IFERROR(E24+F24,0)</f>
        <v>0</v>
      </c>
      <c r="H24" s="27"/>
      <c r="I24" s="29"/>
      <c r="J24" s="5"/>
    </row>
    <row r="25" customFormat="false" ht="19.5" hidden="false" customHeight="true" outlineLevel="0" collapsed="false">
      <c r="A25" s="41" t="n">
        <v>19</v>
      </c>
      <c r="B25" s="27"/>
      <c r="C25" s="5"/>
      <c r="D25" s="5"/>
      <c r="E25" s="28"/>
      <c r="F25" s="28"/>
      <c r="G25" s="42" t="n">
        <f aca="false">IFERROR(E25+F25,0)</f>
        <v>0</v>
      </c>
      <c r="H25" s="27"/>
      <c r="I25" s="29"/>
      <c r="J25" s="5"/>
    </row>
    <row r="26" customFormat="false" ht="19.5" hidden="false" customHeight="true" outlineLevel="0" collapsed="false">
      <c r="A26" s="43" t="n">
        <v>20</v>
      </c>
      <c r="B26" s="27"/>
      <c r="C26" s="5"/>
      <c r="D26" s="5"/>
      <c r="E26" s="28"/>
      <c r="F26" s="28"/>
      <c r="G26" s="42" t="n">
        <f aca="false">IFERROR(E26+F26,0)</f>
        <v>0</v>
      </c>
      <c r="H26" s="27"/>
      <c r="I26" s="29"/>
      <c r="J26" s="5"/>
    </row>
    <row r="27" customFormat="false" ht="19.5" hidden="false" customHeight="true" outlineLevel="0" collapsed="false">
      <c r="A27" s="41" t="n">
        <v>21</v>
      </c>
      <c r="B27" s="27"/>
      <c r="C27" s="5"/>
      <c r="D27" s="5"/>
      <c r="E27" s="28"/>
      <c r="F27" s="28"/>
      <c r="G27" s="42" t="n">
        <f aca="false">IFERROR(E27+F27,0)</f>
        <v>0</v>
      </c>
      <c r="H27" s="27"/>
      <c r="I27" s="29"/>
      <c r="J27" s="5"/>
    </row>
    <row r="28" customFormat="false" ht="19.5" hidden="false" customHeight="true" outlineLevel="0" collapsed="false">
      <c r="A28" s="43" t="n">
        <v>22</v>
      </c>
      <c r="B28" s="27"/>
      <c r="C28" s="5"/>
      <c r="D28" s="5"/>
      <c r="E28" s="28"/>
      <c r="F28" s="28"/>
      <c r="G28" s="42" t="n">
        <f aca="false">IFERROR(E28+F28,0)</f>
        <v>0</v>
      </c>
      <c r="H28" s="27"/>
      <c r="I28" s="29"/>
      <c r="J28" s="5"/>
    </row>
    <row r="29" customFormat="false" ht="19.5" hidden="false" customHeight="true" outlineLevel="0" collapsed="false">
      <c r="A29" s="41" t="n">
        <v>23</v>
      </c>
      <c r="B29" s="27"/>
      <c r="C29" s="5"/>
      <c r="D29" s="5"/>
      <c r="E29" s="28"/>
      <c r="F29" s="28"/>
      <c r="G29" s="42" t="n">
        <f aca="false">IFERROR(E29+F29,0)</f>
        <v>0</v>
      </c>
      <c r="H29" s="27"/>
      <c r="I29" s="29"/>
      <c r="J29" s="5"/>
    </row>
    <row r="30" customFormat="false" ht="19.5" hidden="false" customHeight="true" outlineLevel="0" collapsed="false">
      <c r="A30" s="43" t="n">
        <v>24</v>
      </c>
      <c r="B30" s="27"/>
      <c r="C30" s="5"/>
      <c r="D30" s="5"/>
      <c r="E30" s="28"/>
      <c r="F30" s="28"/>
      <c r="G30" s="42" t="n">
        <f aca="false">IFERROR(E30+F30,0)</f>
        <v>0</v>
      </c>
      <c r="H30" s="27"/>
      <c r="I30" s="29"/>
      <c r="J30" s="5"/>
    </row>
    <row r="31" customFormat="false" ht="19.5" hidden="false" customHeight="true" outlineLevel="0" collapsed="false">
      <c r="A31" s="41" t="n">
        <v>25</v>
      </c>
      <c r="B31" s="27"/>
      <c r="C31" s="5"/>
      <c r="D31" s="5"/>
      <c r="E31" s="28"/>
      <c r="F31" s="28"/>
      <c r="G31" s="42" t="n">
        <f aca="false">IFERROR(E31+F31,0)</f>
        <v>0</v>
      </c>
      <c r="H31" s="27"/>
      <c r="I31" s="29"/>
      <c r="J31" s="5"/>
    </row>
    <row r="32" customFormat="false" ht="19.5" hidden="false" customHeight="true" outlineLevel="0" collapsed="false">
      <c r="A32" s="43" t="n">
        <v>26</v>
      </c>
      <c r="B32" s="27"/>
      <c r="C32" s="5"/>
      <c r="D32" s="5"/>
      <c r="E32" s="28"/>
      <c r="F32" s="28"/>
      <c r="G32" s="42" t="n">
        <f aca="false">IFERROR(E32+F32,0)</f>
        <v>0</v>
      </c>
      <c r="H32" s="27"/>
      <c r="I32" s="29"/>
      <c r="J32" s="5"/>
    </row>
    <row r="33" customFormat="false" ht="19.5" hidden="false" customHeight="true" outlineLevel="0" collapsed="false">
      <c r="A33" s="41" t="n">
        <v>27</v>
      </c>
      <c r="B33" s="27"/>
      <c r="C33" s="5"/>
      <c r="D33" s="5"/>
      <c r="E33" s="28"/>
      <c r="F33" s="28"/>
      <c r="G33" s="42" t="n">
        <f aca="false">IFERROR(E33+F33,0)</f>
        <v>0</v>
      </c>
      <c r="H33" s="27"/>
      <c r="I33" s="29"/>
      <c r="J33" s="5"/>
    </row>
    <row r="34" customFormat="false" ht="19.5" hidden="false" customHeight="true" outlineLevel="0" collapsed="false">
      <c r="A34" s="43" t="n">
        <v>28</v>
      </c>
      <c r="B34" s="27"/>
      <c r="C34" s="5"/>
      <c r="D34" s="5"/>
      <c r="E34" s="28"/>
      <c r="F34" s="28"/>
      <c r="G34" s="42" t="n">
        <f aca="false">IFERROR(E34+F34,0)</f>
        <v>0</v>
      </c>
      <c r="H34" s="27"/>
      <c r="I34" s="29"/>
      <c r="J34" s="5"/>
    </row>
    <row r="35" customFormat="false" ht="19.5" hidden="false" customHeight="true" outlineLevel="0" collapsed="false">
      <c r="A35" s="41" t="n">
        <v>29</v>
      </c>
      <c r="B35" s="27"/>
      <c r="C35" s="5"/>
      <c r="D35" s="5"/>
      <c r="E35" s="28"/>
      <c r="F35" s="28"/>
      <c r="G35" s="42" t="n">
        <f aca="false">IFERROR(E35+F35,0)</f>
        <v>0</v>
      </c>
      <c r="H35" s="27"/>
      <c r="I35" s="29"/>
      <c r="J35" s="5"/>
    </row>
    <row r="36" customFormat="false" ht="19.5" hidden="false" customHeight="true" outlineLevel="0" collapsed="false">
      <c r="A36" s="43" t="n">
        <v>30</v>
      </c>
      <c r="B36" s="27"/>
      <c r="C36" s="5"/>
      <c r="D36" s="5"/>
      <c r="E36" s="28"/>
      <c r="F36" s="28"/>
      <c r="G36" s="42" t="n">
        <f aca="false">IFERROR(E36+F36,0)</f>
        <v>0</v>
      </c>
      <c r="H36" s="27"/>
      <c r="I36" s="29"/>
      <c r="J36" s="5"/>
    </row>
    <row r="37" customFormat="false" ht="19.5" hidden="false" customHeight="true" outlineLevel="0" collapsed="false">
      <c r="A37" s="41" t="n">
        <v>31</v>
      </c>
      <c r="B37" s="27"/>
      <c r="C37" s="5"/>
      <c r="D37" s="5"/>
      <c r="E37" s="28"/>
      <c r="F37" s="28"/>
      <c r="G37" s="42" t="n">
        <f aca="false">IFERROR(E37+F37,0)</f>
        <v>0</v>
      </c>
      <c r="H37" s="27"/>
      <c r="I37" s="29"/>
      <c r="J37" s="5"/>
    </row>
    <row r="38" customFormat="false" ht="19.5" hidden="false" customHeight="true" outlineLevel="0" collapsed="false">
      <c r="A38" s="43" t="n">
        <v>32</v>
      </c>
      <c r="B38" s="27"/>
      <c r="C38" s="5"/>
      <c r="D38" s="5"/>
      <c r="E38" s="28"/>
      <c r="F38" s="28"/>
      <c r="G38" s="42" t="n">
        <f aca="false">IFERROR(E38+F38,0)</f>
        <v>0</v>
      </c>
      <c r="H38" s="27"/>
      <c r="I38" s="29"/>
      <c r="J38" s="5"/>
    </row>
    <row r="39" customFormat="false" ht="19.5" hidden="false" customHeight="true" outlineLevel="0" collapsed="false">
      <c r="A39" s="41" t="n">
        <v>33</v>
      </c>
      <c r="B39" s="27"/>
      <c r="C39" s="5"/>
      <c r="D39" s="5"/>
      <c r="E39" s="28"/>
      <c r="F39" s="28"/>
      <c r="G39" s="42" t="n">
        <f aca="false">IFERROR(E39+F39,0)</f>
        <v>0</v>
      </c>
      <c r="H39" s="27"/>
      <c r="I39" s="29"/>
      <c r="J39" s="5"/>
    </row>
    <row r="40" customFormat="false" ht="19.5" hidden="false" customHeight="true" outlineLevel="0" collapsed="false">
      <c r="A40" s="43" t="n">
        <v>34</v>
      </c>
      <c r="B40" s="27"/>
      <c r="C40" s="5"/>
      <c r="D40" s="5"/>
      <c r="E40" s="28"/>
      <c r="F40" s="28"/>
      <c r="G40" s="42" t="n">
        <f aca="false">IFERROR(E40+F40,0)</f>
        <v>0</v>
      </c>
      <c r="H40" s="27"/>
      <c r="I40" s="29"/>
      <c r="J40" s="5"/>
    </row>
    <row r="41" customFormat="false" ht="19.5" hidden="false" customHeight="true" outlineLevel="0" collapsed="false">
      <c r="A41" s="41" t="n">
        <v>35</v>
      </c>
      <c r="B41" s="27"/>
      <c r="C41" s="5"/>
      <c r="D41" s="5"/>
      <c r="E41" s="28"/>
      <c r="F41" s="28"/>
      <c r="G41" s="42" t="n">
        <f aca="false">IFERROR(E41+F41,0)</f>
        <v>0</v>
      </c>
      <c r="H41" s="27"/>
      <c r="I41" s="29"/>
      <c r="J41" s="5"/>
    </row>
    <row r="42" customFormat="false" ht="19.5" hidden="false" customHeight="true" outlineLevel="0" collapsed="false">
      <c r="A42" s="43" t="n">
        <v>36</v>
      </c>
      <c r="B42" s="27"/>
      <c r="C42" s="5"/>
      <c r="D42" s="5"/>
      <c r="E42" s="28"/>
      <c r="F42" s="28"/>
      <c r="G42" s="42" t="n">
        <f aca="false">IFERROR(E42+F42,0)</f>
        <v>0</v>
      </c>
      <c r="H42" s="27"/>
      <c r="I42" s="29"/>
      <c r="J42" s="5"/>
    </row>
    <row r="43" customFormat="false" ht="19.5" hidden="false" customHeight="true" outlineLevel="0" collapsed="false">
      <c r="A43" s="41" t="n">
        <v>37</v>
      </c>
      <c r="B43" s="27"/>
      <c r="C43" s="5"/>
      <c r="D43" s="5"/>
      <c r="E43" s="28"/>
      <c r="F43" s="28"/>
      <c r="G43" s="42" t="n">
        <f aca="false">IFERROR(E43+F43,0)</f>
        <v>0</v>
      </c>
      <c r="H43" s="27"/>
      <c r="I43" s="29"/>
      <c r="J43" s="5"/>
    </row>
    <row r="44" customFormat="false" ht="19.5" hidden="false" customHeight="true" outlineLevel="0" collapsed="false">
      <c r="A44" s="43" t="n">
        <v>38</v>
      </c>
      <c r="B44" s="27"/>
      <c r="C44" s="5"/>
      <c r="D44" s="5"/>
      <c r="E44" s="28"/>
      <c r="F44" s="28"/>
      <c r="G44" s="42" t="n">
        <f aca="false">IFERROR(E44+F44,0)</f>
        <v>0</v>
      </c>
      <c r="H44" s="27"/>
      <c r="I44" s="29"/>
      <c r="J44" s="5"/>
    </row>
    <row r="45" customFormat="false" ht="19.5" hidden="false" customHeight="true" outlineLevel="0" collapsed="false">
      <c r="A45" s="41" t="n">
        <v>39</v>
      </c>
      <c r="B45" s="27"/>
      <c r="C45" s="5"/>
      <c r="D45" s="5"/>
      <c r="E45" s="28"/>
      <c r="F45" s="28"/>
      <c r="G45" s="42" t="n">
        <f aca="false">IFERROR(E45+F45,0)</f>
        <v>0</v>
      </c>
      <c r="H45" s="27"/>
      <c r="I45" s="29"/>
      <c r="J45" s="5"/>
    </row>
    <row r="46" customFormat="false" ht="19.5" hidden="false" customHeight="true" outlineLevel="0" collapsed="false">
      <c r="A46" s="43" t="n">
        <v>40</v>
      </c>
      <c r="B46" s="27"/>
      <c r="C46" s="5"/>
      <c r="D46" s="5"/>
      <c r="E46" s="28"/>
      <c r="F46" s="28"/>
      <c r="G46" s="42" t="n">
        <f aca="false">IFERROR(E46+F46,0)</f>
        <v>0</v>
      </c>
      <c r="H46" s="27"/>
      <c r="I46" s="29"/>
      <c r="J46" s="5"/>
    </row>
    <row r="47" customFormat="false" ht="19.5" hidden="false" customHeight="true" outlineLevel="0" collapsed="false">
      <c r="A47" s="41" t="n">
        <v>41</v>
      </c>
      <c r="B47" s="27"/>
      <c r="C47" s="5"/>
      <c r="D47" s="5"/>
      <c r="E47" s="28"/>
      <c r="F47" s="28"/>
      <c r="G47" s="42" t="n">
        <f aca="false">IFERROR(E47+F47,0)</f>
        <v>0</v>
      </c>
      <c r="H47" s="27"/>
      <c r="I47" s="29"/>
      <c r="J47" s="5"/>
    </row>
    <row r="48" customFormat="false" ht="19.5" hidden="false" customHeight="true" outlineLevel="0" collapsed="false">
      <c r="A48" s="43" t="n">
        <v>42</v>
      </c>
      <c r="B48" s="27"/>
      <c r="C48" s="5"/>
      <c r="D48" s="5"/>
      <c r="E48" s="28"/>
      <c r="F48" s="28"/>
      <c r="G48" s="42" t="n">
        <f aca="false">IFERROR(E48+F48,0)</f>
        <v>0</v>
      </c>
      <c r="H48" s="27"/>
      <c r="I48" s="29"/>
      <c r="J48" s="5"/>
    </row>
    <row r="49" customFormat="false" ht="19.5" hidden="false" customHeight="true" outlineLevel="0" collapsed="false">
      <c r="A49" s="41" t="n">
        <v>43</v>
      </c>
      <c r="B49" s="27"/>
      <c r="C49" s="5"/>
      <c r="D49" s="5"/>
      <c r="E49" s="28"/>
      <c r="F49" s="28"/>
      <c r="G49" s="42" t="n">
        <f aca="false">IFERROR(E49+F49,0)</f>
        <v>0</v>
      </c>
      <c r="H49" s="27"/>
      <c r="I49" s="29"/>
      <c r="J49" s="5"/>
    </row>
    <row r="50" customFormat="false" ht="19.5" hidden="false" customHeight="true" outlineLevel="0" collapsed="false">
      <c r="A50" s="43" t="n">
        <v>44</v>
      </c>
      <c r="B50" s="27"/>
      <c r="C50" s="5"/>
      <c r="D50" s="5"/>
      <c r="E50" s="28"/>
      <c r="F50" s="28"/>
      <c r="G50" s="42" t="n">
        <f aca="false">IFERROR(E50+F50,0)</f>
        <v>0</v>
      </c>
      <c r="H50" s="27"/>
      <c r="I50" s="29"/>
      <c r="J50" s="5"/>
    </row>
    <row r="51" customFormat="false" ht="19.5" hidden="false" customHeight="true" outlineLevel="0" collapsed="false">
      <c r="A51" s="41" t="n">
        <v>45</v>
      </c>
      <c r="B51" s="27"/>
      <c r="C51" s="5"/>
      <c r="D51" s="5"/>
      <c r="E51" s="28"/>
      <c r="F51" s="28"/>
      <c r="G51" s="42" t="n">
        <f aca="false">IFERROR(E51+F51,0)</f>
        <v>0</v>
      </c>
      <c r="H51" s="27"/>
      <c r="I51" s="29"/>
      <c r="J51" s="5"/>
    </row>
    <row r="52" customFormat="false" ht="19.5" hidden="false" customHeight="true" outlineLevel="0" collapsed="false">
      <c r="A52" s="43" t="n">
        <v>46</v>
      </c>
      <c r="B52" s="27"/>
      <c r="C52" s="5"/>
      <c r="D52" s="5"/>
      <c r="E52" s="28"/>
      <c r="F52" s="28"/>
      <c r="G52" s="42" t="n">
        <f aca="false">IFERROR(E52+F52,0)</f>
        <v>0</v>
      </c>
      <c r="H52" s="27"/>
      <c r="I52" s="29"/>
      <c r="J52" s="5"/>
    </row>
    <row r="53" customFormat="false" ht="19.5" hidden="false" customHeight="true" outlineLevel="0" collapsed="false">
      <c r="A53" s="41" t="n">
        <v>47</v>
      </c>
      <c r="B53" s="27"/>
      <c r="C53" s="5"/>
      <c r="D53" s="5"/>
      <c r="E53" s="28"/>
      <c r="F53" s="28"/>
      <c r="G53" s="42" t="n">
        <f aca="false">IFERROR(E53+F53,0)</f>
        <v>0</v>
      </c>
      <c r="H53" s="27"/>
      <c r="I53" s="29"/>
      <c r="J53" s="5"/>
    </row>
    <row r="54" customFormat="false" ht="19.5" hidden="false" customHeight="true" outlineLevel="0" collapsed="false">
      <c r="A54" s="43" t="n">
        <v>48</v>
      </c>
      <c r="B54" s="27"/>
      <c r="C54" s="5"/>
      <c r="D54" s="5"/>
      <c r="E54" s="28"/>
      <c r="F54" s="28"/>
      <c r="G54" s="42" t="n">
        <f aca="false">IFERROR(E54+F54,0)</f>
        <v>0</v>
      </c>
      <c r="H54" s="27"/>
      <c r="I54" s="29"/>
      <c r="J54" s="5"/>
    </row>
    <row r="55" customFormat="false" ht="19.5" hidden="false" customHeight="true" outlineLevel="0" collapsed="false">
      <c r="A55" s="41" t="n">
        <v>49</v>
      </c>
      <c r="B55" s="27"/>
      <c r="C55" s="5"/>
      <c r="D55" s="5"/>
      <c r="E55" s="28"/>
      <c r="F55" s="28"/>
      <c r="G55" s="42" t="n">
        <f aca="false">IFERROR(E55+F55,0)</f>
        <v>0</v>
      </c>
      <c r="H55" s="27"/>
      <c r="I55" s="29"/>
      <c r="J55" s="5"/>
    </row>
    <row r="56" customFormat="false" ht="19.5" hidden="false" customHeight="true" outlineLevel="0" collapsed="false">
      <c r="A56" s="43" t="n">
        <v>50</v>
      </c>
      <c r="B56" s="27"/>
      <c r="C56" s="5"/>
      <c r="D56" s="5"/>
      <c r="E56" s="28"/>
      <c r="F56" s="28"/>
      <c r="G56" s="42" t="n">
        <f aca="false">IFERROR(E56+F56,0)</f>
        <v>0</v>
      </c>
      <c r="H56" s="27"/>
      <c r="I56" s="29"/>
      <c r="J56" s="5"/>
    </row>
  </sheetData>
  <mergeCells count="8">
    <mergeCell ref="A1:J1"/>
    <mergeCell ref="A2:J2"/>
    <mergeCell ref="A3:C3"/>
    <mergeCell ref="D3:F3"/>
    <mergeCell ref="G3:I3"/>
    <mergeCell ref="A4:C4"/>
    <mergeCell ref="D4:F4"/>
    <mergeCell ref="G4:I4"/>
  </mergeCells>
  <dataValidations count="1">
    <dataValidation allowBlank="true" errorStyle="stop" operator="between" showDropDown="false" showErrorMessage="false" showInputMessage="false" sqref="I7:I56" type="list">
      <formula1>"Аварийно,Висок,Среден,Нисък,Планиран"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8"/>
  </cols>
  <sheetData>
    <row r="1" customFormat="false" ht="36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187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5.5" hidden="false" customHeight="true" outlineLevel="0" collapsed="false">
      <c r="A3" s="13" t="s">
        <v>137</v>
      </c>
      <c r="B3" s="13" t="s">
        <v>188</v>
      </c>
      <c r="C3" s="13" t="s">
        <v>189</v>
      </c>
      <c r="D3" s="13" t="s">
        <v>190</v>
      </c>
      <c r="E3" s="13" t="s">
        <v>191</v>
      </c>
      <c r="F3" s="13" t="s">
        <v>192</v>
      </c>
      <c r="G3" s="13" t="s">
        <v>193</v>
      </c>
      <c r="H3" s="13" t="s">
        <v>194</v>
      </c>
      <c r="I3" s="13" t="s">
        <v>195</v>
      </c>
      <c r="J3" s="13" t="s">
        <v>196</v>
      </c>
    </row>
    <row r="4" customFormat="false" ht="19.5" hidden="false" customHeight="true" outlineLevel="0" collapsed="false">
      <c r="A4" s="26" t="n">
        <v>1</v>
      </c>
      <c r="B4" s="27"/>
      <c r="C4" s="15" t="s">
        <v>197</v>
      </c>
      <c r="D4" s="29" t="s">
        <v>198</v>
      </c>
      <c r="E4" s="29" t="n">
        <v>1</v>
      </c>
      <c r="F4" s="28"/>
      <c r="G4" s="44" t="n">
        <f aca="false">IFERROR(E4*F4,0)</f>
        <v>0</v>
      </c>
      <c r="H4" s="29"/>
      <c r="I4" s="5"/>
      <c r="J4" s="5"/>
    </row>
    <row r="5" customFormat="false" ht="19.5" hidden="false" customHeight="true" outlineLevel="0" collapsed="false">
      <c r="A5" s="31" t="n">
        <v>2</v>
      </c>
      <c r="B5" s="27"/>
      <c r="C5" s="17" t="s">
        <v>199</v>
      </c>
      <c r="D5" s="29" t="s">
        <v>198</v>
      </c>
      <c r="E5" s="29" t="n">
        <v>1</v>
      </c>
      <c r="F5" s="28"/>
      <c r="G5" s="44" t="n">
        <f aca="false">IFERROR(E5*F5,0)</f>
        <v>0</v>
      </c>
      <c r="H5" s="29"/>
      <c r="I5" s="5"/>
      <c r="J5" s="5"/>
    </row>
    <row r="6" customFormat="false" ht="19.5" hidden="false" customHeight="true" outlineLevel="0" collapsed="false">
      <c r="A6" s="26" t="n">
        <v>3</v>
      </c>
      <c r="B6" s="27"/>
      <c r="C6" s="15" t="s">
        <v>200</v>
      </c>
      <c r="D6" s="29" t="s">
        <v>198</v>
      </c>
      <c r="E6" s="29" t="n">
        <v>1</v>
      </c>
      <c r="F6" s="28"/>
      <c r="G6" s="44" t="n">
        <f aca="false">IFERROR(E6*F6,0)</f>
        <v>0</v>
      </c>
      <c r="H6" s="29"/>
      <c r="I6" s="5"/>
      <c r="J6" s="5"/>
    </row>
    <row r="7" customFormat="false" ht="19.5" hidden="false" customHeight="true" outlineLevel="0" collapsed="false">
      <c r="A7" s="31" t="n">
        <v>4</v>
      </c>
      <c r="B7" s="27"/>
      <c r="C7" s="17" t="s">
        <v>201</v>
      </c>
      <c r="D7" s="29" t="s">
        <v>198</v>
      </c>
      <c r="E7" s="29" t="n">
        <v>1</v>
      </c>
      <c r="F7" s="28"/>
      <c r="G7" s="44" t="n">
        <f aca="false">IFERROR(E7*F7,0)</f>
        <v>0</v>
      </c>
      <c r="H7" s="29"/>
      <c r="I7" s="5"/>
      <c r="J7" s="5"/>
    </row>
    <row r="8" customFormat="false" ht="19.5" hidden="false" customHeight="true" outlineLevel="0" collapsed="false">
      <c r="A8" s="26" t="n">
        <v>5</v>
      </c>
      <c r="B8" s="27"/>
      <c r="C8" s="15" t="s">
        <v>202</v>
      </c>
      <c r="D8" s="29" t="s">
        <v>198</v>
      </c>
      <c r="E8" s="29" t="n">
        <v>1</v>
      </c>
      <c r="F8" s="28"/>
      <c r="G8" s="44" t="n">
        <f aca="false">IFERROR(E8*F8,0)</f>
        <v>0</v>
      </c>
      <c r="H8" s="29"/>
      <c r="I8" s="5"/>
      <c r="J8" s="5"/>
    </row>
    <row r="9" customFormat="false" ht="19.5" hidden="false" customHeight="true" outlineLevel="0" collapsed="false">
      <c r="A9" s="31" t="n">
        <v>6</v>
      </c>
      <c r="B9" s="27"/>
      <c r="C9" s="17" t="s">
        <v>203</v>
      </c>
      <c r="D9" s="29" t="s">
        <v>204</v>
      </c>
      <c r="E9" s="29" t="n">
        <v>1</v>
      </c>
      <c r="F9" s="28"/>
      <c r="G9" s="44" t="n">
        <f aca="false">IFERROR(E9*F9,0)</f>
        <v>0</v>
      </c>
      <c r="H9" s="29"/>
      <c r="I9" s="5"/>
      <c r="J9" s="5"/>
    </row>
    <row r="10" customFormat="false" ht="19.5" hidden="false" customHeight="true" outlineLevel="0" collapsed="false">
      <c r="A10" s="26" t="n">
        <v>7</v>
      </c>
      <c r="B10" s="27"/>
      <c r="C10" s="15" t="s">
        <v>205</v>
      </c>
      <c r="D10" s="29" t="s">
        <v>204</v>
      </c>
      <c r="E10" s="29" t="n">
        <v>1</v>
      </c>
      <c r="F10" s="28"/>
      <c r="G10" s="44" t="n">
        <f aca="false">IFERROR(E10*F10,0)</f>
        <v>0</v>
      </c>
      <c r="H10" s="29"/>
      <c r="I10" s="5"/>
      <c r="J10" s="5"/>
    </row>
    <row r="11" customFormat="false" ht="19.5" hidden="false" customHeight="true" outlineLevel="0" collapsed="false">
      <c r="A11" s="31" t="n">
        <v>8</v>
      </c>
      <c r="B11" s="27"/>
      <c r="C11" s="17" t="s">
        <v>206</v>
      </c>
      <c r="D11" s="29" t="s">
        <v>204</v>
      </c>
      <c r="E11" s="29" t="n">
        <v>2</v>
      </c>
      <c r="F11" s="28"/>
      <c r="G11" s="44" t="n">
        <f aca="false">IFERROR(E11*F11,0)</f>
        <v>0</v>
      </c>
      <c r="H11" s="29"/>
      <c r="I11" s="5"/>
      <c r="J11" s="5"/>
    </row>
    <row r="12" customFormat="false" ht="19.5" hidden="false" customHeight="true" outlineLevel="0" collapsed="false">
      <c r="A12" s="26" t="n">
        <v>9</v>
      </c>
      <c r="B12" s="27"/>
      <c r="C12" s="15" t="s">
        <v>207</v>
      </c>
      <c r="D12" s="29" t="s">
        <v>208</v>
      </c>
      <c r="E12" s="29" t="n">
        <v>1</v>
      </c>
      <c r="F12" s="28"/>
      <c r="G12" s="44" t="n">
        <f aca="false">IFERROR(E12*F12,0)</f>
        <v>0</v>
      </c>
      <c r="H12" s="29"/>
      <c r="I12" s="5"/>
      <c r="J12" s="5"/>
    </row>
    <row r="13" customFormat="false" ht="19.5" hidden="false" customHeight="true" outlineLevel="0" collapsed="false">
      <c r="A13" s="31" t="n">
        <v>10</v>
      </c>
      <c r="B13" s="27"/>
      <c r="C13" s="17" t="s">
        <v>209</v>
      </c>
      <c r="D13" s="29" t="s">
        <v>208</v>
      </c>
      <c r="E13" s="29" t="n">
        <v>1</v>
      </c>
      <c r="F13" s="28"/>
      <c r="G13" s="44" t="n">
        <f aca="false">IFERROR(E13*F13,0)</f>
        <v>0</v>
      </c>
      <c r="H13" s="29"/>
      <c r="I13" s="5"/>
      <c r="J13" s="5"/>
    </row>
    <row r="14" customFormat="false" ht="19.5" hidden="false" customHeight="true" outlineLevel="0" collapsed="false">
      <c r="A14" s="26" t="n">
        <v>11</v>
      </c>
      <c r="B14" s="27"/>
      <c r="C14" s="15" t="s">
        <v>210</v>
      </c>
      <c r="D14" s="29" t="s">
        <v>208</v>
      </c>
      <c r="E14" s="29" t="n">
        <v>1</v>
      </c>
      <c r="F14" s="28"/>
      <c r="G14" s="44" t="n">
        <f aca="false">IFERROR(E14*F14,0)</f>
        <v>0</v>
      </c>
      <c r="H14" s="29"/>
      <c r="I14" s="5"/>
      <c r="J14" s="5"/>
    </row>
    <row r="15" customFormat="false" ht="19.5" hidden="false" customHeight="true" outlineLevel="0" collapsed="false">
      <c r="A15" s="31" t="n">
        <v>12</v>
      </c>
      <c r="B15" s="27"/>
      <c r="C15" s="17" t="s">
        <v>211</v>
      </c>
      <c r="D15" s="29" t="s">
        <v>208</v>
      </c>
      <c r="E15" s="29" t="n">
        <v>1</v>
      </c>
      <c r="F15" s="28"/>
      <c r="G15" s="44" t="n">
        <f aca="false">IFERROR(E15*F15,0)</f>
        <v>0</v>
      </c>
      <c r="H15" s="29"/>
      <c r="I15" s="5"/>
      <c r="J15" s="5"/>
    </row>
    <row r="16" customFormat="false" ht="19.5" hidden="false" customHeight="true" outlineLevel="0" collapsed="false">
      <c r="A16" s="26" t="n">
        <v>13</v>
      </c>
      <c r="B16" s="27"/>
      <c r="C16" s="15" t="s">
        <v>212</v>
      </c>
      <c r="D16" s="29" t="s">
        <v>208</v>
      </c>
      <c r="E16" s="29" t="n">
        <v>1</v>
      </c>
      <c r="F16" s="28"/>
      <c r="G16" s="44" t="n">
        <f aca="false">IFERROR(E16*F16,0)</f>
        <v>0</v>
      </c>
      <c r="H16" s="29"/>
      <c r="I16" s="5"/>
      <c r="J16" s="5"/>
    </row>
    <row r="17" customFormat="false" ht="19.5" hidden="false" customHeight="true" outlineLevel="0" collapsed="false">
      <c r="A17" s="31" t="n">
        <v>14</v>
      </c>
      <c r="B17" s="27"/>
      <c r="C17" s="17" t="s">
        <v>213</v>
      </c>
      <c r="D17" s="29" t="s">
        <v>208</v>
      </c>
      <c r="E17" s="29" t="n">
        <v>1</v>
      </c>
      <c r="F17" s="28"/>
      <c r="G17" s="44" t="n">
        <f aca="false">IFERROR(E17*F17,0)</f>
        <v>0</v>
      </c>
      <c r="H17" s="29"/>
      <c r="I17" s="5"/>
      <c r="J17" s="5"/>
    </row>
    <row r="18" customFormat="false" ht="19.5" hidden="false" customHeight="true" outlineLevel="0" collapsed="false">
      <c r="A18" s="26" t="n">
        <v>15</v>
      </c>
      <c r="B18" s="27"/>
      <c r="C18" s="15" t="s">
        <v>214</v>
      </c>
      <c r="D18" s="29" t="s">
        <v>208</v>
      </c>
      <c r="E18" s="29" t="n">
        <v>1</v>
      </c>
      <c r="F18" s="28"/>
      <c r="G18" s="44" t="n">
        <f aca="false">IFERROR(E18*F18,0)</f>
        <v>0</v>
      </c>
      <c r="H18" s="29"/>
      <c r="I18" s="5"/>
      <c r="J18" s="5"/>
    </row>
    <row r="19" customFormat="false" ht="19.5" hidden="false" customHeight="true" outlineLevel="0" collapsed="false">
      <c r="A19" s="31" t="n">
        <v>16</v>
      </c>
      <c r="B19" s="27"/>
      <c r="C19" s="17" t="s">
        <v>215</v>
      </c>
      <c r="D19" s="29" t="s">
        <v>216</v>
      </c>
      <c r="E19" s="29" t="n">
        <v>1</v>
      </c>
      <c r="F19" s="28"/>
      <c r="G19" s="44" t="n">
        <f aca="false">IFERROR(E19*F19,0)</f>
        <v>0</v>
      </c>
      <c r="H19" s="29"/>
      <c r="I19" s="5"/>
      <c r="J19" s="5"/>
    </row>
    <row r="20" customFormat="false" ht="19.5" hidden="false" customHeight="true" outlineLevel="0" collapsed="false">
      <c r="A20" s="26" t="n">
        <v>17</v>
      </c>
      <c r="B20" s="27"/>
      <c r="C20" s="15" t="s">
        <v>217</v>
      </c>
      <c r="D20" s="29" t="s">
        <v>216</v>
      </c>
      <c r="E20" s="29" t="n">
        <v>1</v>
      </c>
      <c r="F20" s="28"/>
      <c r="G20" s="44" t="n">
        <f aca="false">IFERROR(E20*F20,0)</f>
        <v>0</v>
      </c>
      <c r="H20" s="29"/>
      <c r="I20" s="5"/>
      <c r="J20" s="5"/>
    </row>
    <row r="21" customFormat="false" ht="19.5" hidden="false" customHeight="true" outlineLevel="0" collapsed="false">
      <c r="A21" s="31" t="n">
        <v>18</v>
      </c>
      <c r="B21" s="27"/>
      <c r="C21" s="17" t="s">
        <v>218</v>
      </c>
      <c r="D21" s="29" t="s">
        <v>216</v>
      </c>
      <c r="E21" s="29" t="n">
        <v>1</v>
      </c>
      <c r="F21" s="28"/>
      <c r="G21" s="44" t="n">
        <f aca="false">IFERROR(E21*F21,0)</f>
        <v>0</v>
      </c>
      <c r="H21" s="29"/>
      <c r="I21" s="5"/>
      <c r="J21" s="5"/>
    </row>
    <row r="22" customFormat="false" ht="19.5" hidden="false" customHeight="true" outlineLevel="0" collapsed="false">
      <c r="A22" s="26" t="n">
        <v>19</v>
      </c>
      <c r="B22" s="27"/>
      <c r="C22" s="15" t="s">
        <v>219</v>
      </c>
      <c r="D22" s="29" t="s">
        <v>220</v>
      </c>
      <c r="E22" s="29" t="n">
        <v>1</v>
      </c>
      <c r="F22" s="28"/>
      <c r="G22" s="44" t="n">
        <f aca="false">IFERROR(E22*F22,0)</f>
        <v>0</v>
      </c>
      <c r="H22" s="29"/>
      <c r="I22" s="5"/>
      <c r="J22" s="5"/>
    </row>
    <row r="23" customFormat="false" ht="19.5" hidden="false" customHeight="true" outlineLevel="0" collapsed="false">
      <c r="A23" s="31" t="n">
        <v>20</v>
      </c>
      <c r="B23" s="27"/>
      <c r="C23" s="17" t="s">
        <v>221</v>
      </c>
      <c r="D23" s="29" t="s">
        <v>220</v>
      </c>
      <c r="E23" s="29" t="n">
        <v>1</v>
      </c>
      <c r="F23" s="28"/>
      <c r="G23" s="44" t="n">
        <f aca="false">IFERROR(E23*F23,0)</f>
        <v>0</v>
      </c>
      <c r="H23" s="29"/>
      <c r="I23" s="5"/>
      <c r="J23" s="5"/>
    </row>
    <row r="24" customFormat="false" ht="21.75" hidden="false" customHeight="true" outlineLevel="0" collapsed="false">
      <c r="A24" s="45" t="s">
        <v>222</v>
      </c>
      <c r="B24" s="45"/>
      <c r="C24" s="45"/>
      <c r="D24" s="45"/>
      <c r="E24" s="45"/>
      <c r="F24" s="45"/>
      <c r="G24" s="46" t="n">
        <f aca="false">IFERROR(SUM(G4:G23),0)</f>
        <v>0</v>
      </c>
    </row>
  </sheetData>
  <mergeCells count="3">
    <mergeCell ref="A1:J1"/>
    <mergeCell ref="A2:J2"/>
    <mergeCell ref="A24:F24"/>
  </mergeCells>
  <dataValidations count="2">
    <dataValidation allowBlank="true" errorStyle="stop" operator="between" showDropDown="false" showErrorMessage="false" showInputMessage="false" sqref="D4:D23" type="list">
      <formula1>"Хол,Спалня,Кухня,Баня,WC,Коридор,Балкон,Мазе,Общо"</formula1>
      <formula2>0</formula2>
    </dataValidation>
    <dataValidation allowBlank="true" errorStyle="stop" operator="between" showDropDown="false" showErrorMessage="false" showInputMessage="false" sqref="H4:H23" type="list">
      <formula1>"Отлично,Добро,Задоволително,Износено,За смяна"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3"/>
    <col collapsed="false" customWidth="true" hidden="false" outlineLevel="0" max="6" min="6" style="0" width="28"/>
    <col collapsed="false" customWidth="true" hidden="false" outlineLevel="0" max="8" min="7" style="0" width="16"/>
  </cols>
  <sheetData>
    <row r="1" customFormat="false" ht="36" hidden="false" customHeight="true" outlineLevel="0" collapsed="false">
      <c r="A1" s="1" t="s">
        <v>223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224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225</v>
      </c>
      <c r="B4" s="3"/>
      <c r="C4" s="3"/>
      <c r="D4" s="3"/>
      <c r="F4" s="3" t="s">
        <v>226</v>
      </c>
      <c r="G4" s="3"/>
      <c r="H4" s="3"/>
    </row>
    <row r="5" customFormat="false" ht="21.75" hidden="false" customHeight="true" outlineLevel="0" collapsed="false">
      <c r="B5" s="4" t="s">
        <v>30</v>
      </c>
      <c r="C5" s="44" t="n">
        <f aca="false">'🏠 Паспорт на имота'!C19</f>
        <v>0</v>
      </c>
      <c r="D5" s="47"/>
      <c r="F5" s="48" t="s">
        <v>227</v>
      </c>
      <c r="G5" s="5"/>
      <c r="H5" s="5"/>
    </row>
    <row r="6" customFormat="false" ht="21.75" hidden="false" customHeight="true" outlineLevel="0" collapsed="false">
      <c r="B6" s="4" t="s">
        <v>228</v>
      </c>
      <c r="C6" s="44" t="n">
        <f aca="false">IFERROR('🔨 Ремонти'!G4+'🛋️ Обзавеждане'!G24,0)</f>
        <v>0</v>
      </c>
      <c r="D6" s="47"/>
      <c r="F6" s="48" t="s">
        <v>229</v>
      </c>
      <c r="G6" s="5"/>
      <c r="H6" s="5"/>
    </row>
    <row r="7" customFormat="false" ht="21.75" hidden="false" customHeight="true" outlineLevel="0" collapsed="false">
      <c r="B7" s="4" t="s">
        <v>230</v>
      </c>
      <c r="C7" s="44" t="n">
        <f aca="false">IFERROR('🏠 Паспорт на имота'!C20/1.95583,0)</f>
        <v>0</v>
      </c>
      <c r="D7" s="47"/>
      <c r="F7" s="48" t="s">
        <v>231</v>
      </c>
      <c r="G7" s="5"/>
      <c r="H7" s="5"/>
    </row>
    <row r="8" customFormat="false" ht="21.75" hidden="false" customHeight="true" outlineLevel="0" collapsed="false">
      <c r="B8" s="10" t="s">
        <v>42</v>
      </c>
      <c r="C8" s="49" t="n">
        <f aca="false">'🏠 Паспорт на имота'!C25</f>
        <v>0</v>
      </c>
      <c r="D8" s="47"/>
      <c r="F8" s="48" t="s">
        <v>232</v>
      </c>
      <c r="G8" s="5"/>
      <c r="H8" s="5"/>
    </row>
    <row r="9" customFormat="false" ht="21.75" hidden="false" customHeight="true" outlineLevel="0" collapsed="false">
      <c r="B9" s="4" t="s">
        <v>27</v>
      </c>
      <c r="C9" s="50" t="n">
        <f aca="false">'🏠 Паспорт на имота'!C17</f>
        <v>0</v>
      </c>
      <c r="D9" s="47"/>
      <c r="F9" s="48" t="s">
        <v>233</v>
      </c>
      <c r="G9" s="5"/>
      <c r="H9" s="5"/>
    </row>
    <row r="10" customFormat="false" ht="21.75" hidden="false" customHeight="true" outlineLevel="0" collapsed="false">
      <c r="F10" s="48" t="s">
        <v>234</v>
      </c>
      <c r="G10" s="5"/>
      <c r="H10" s="5"/>
    </row>
    <row r="11" customFormat="false" ht="21.75" hidden="false" customHeight="true" outlineLevel="0" collapsed="false">
      <c r="A11" s="3" t="s">
        <v>235</v>
      </c>
      <c r="B11" s="3"/>
      <c r="C11" s="3"/>
      <c r="D11" s="3"/>
      <c r="F11" s="48" t="s">
        <v>236</v>
      </c>
      <c r="G11" s="5"/>
      <c r="H11" s="5"/>
    </row>
    <row r="12" customFormat="false" ht="21.75" hidden="false" customHeight="true" outlineLevel="0" collapsed="false">
      <c r="B12" s="51" t="s">
        <v>237</v>
      </c>
      <c r="C12" s="52" t="n">
        <f aca="false">IFERROR(SUM('💶 Плащания наем'!F8:F43),0)</f>
        <v>0</v>
      </c>
      <c r="D12" s="47"/>
      <c r="F12" s="48" t="s">
        <v>238</v>
      </c>
      <c r="G12" s="5"/>
      <c r="H12" s="5"/>
    </row>
    <row r="13" customFormat="false" ht="21.75" hidden="false" customHeight="true" outlineLevel="0" collapsed="false">
      <c r="B13" s="51" t="s">
        <v>239</v>
      </c>
      <c r="C13" s="52" t="n">
        <f aca="false">IFERROR('👤 Наематели'!C18,0)</f>
        <v>0</v>
      </c>
      <c r="D13" s="47"/>
      <c r="F13" s="48" t="s">
        <v>240</v>
      </c>
      <c r="G13" s="5"/>
      <c r="H13" s="5"/>
    </row>
    <row r="14" customFormat="false" ht="21.75" hidden="false" customHeight="true" outlineLevel="0" collapsed="false">
      <c r="B14" s="51" t="s">
        <v>241</v>
      </c>
      <c r="C14" s="52" t="n">
        <f aca="false">IFERROR('👤 Наематели'!C20,0)</f>
        <v>0</v>
      </c>
      <c r="D14" s="47"/>
      <c r="F14" s="48" t="s">
        <v>242</v>
      </c>
      <c r="G14" s="5"/>
      <c r="H14" s="5"/>
    </row>
    <row r="15" customFormat="false" ht="7.5" hidden="false" customHeight="true" outlineLevel="0" collapsed="false"/>
    <row r="16" customFormat="false" ht="21.75" hidden="false" customHeight="true" outlineLevel="0" collapsed="false">
      <c r="A16" s="3" t="s">
        <v>243</v>
      </c>
      <c r="B16" s="3"/>
      <c r="C16" s="3"/>
      <c r="D16" s="3"/>
    </row>
    <row r="17" customFormat="false" ht="21.75" hidden="false" customHeight="true" outlineLevel="0" collapsed="false">
      <c r="B17" s="53" t="s">
        <v>244</v>
      </c>
      <c r="C17" s="54" t="n">
        <f aca="false">IFERROR(SUM('📋 Разходи и сметки'!D7:D66),0)</f>
        <v>0</v>
      </c>
      <c r="D17" s="47"/>
    </row>
    <row r="18" customFormat="false" ht="21.75" hidden="false" customHeight="true" outlineLevel="0" collapsed="false">
      <c r="B18" s="53" t="s">
        <v>245</v>
      </c>
      <c r="C18" s="54" t="n">
        <f aca="false">IFERROR('🔨 Ремонти'!G4,0)</f>
        <v>0</v>
      </c>
      <c r="D18" s="47"/>
    </row>
    <row r="19" customFormat="false" ht="21.75" hidden="false" customHeight="true" outlineLevel="0" collapsed="false">
      <c r="B19" s="55" t="s">
        <v>246</v>
      </c>
      <c r="C19" s="56" t="n">
        <f aca="false">IFERROR(SUM('📋 Разходи и сметки'!D7:D66)+'🔨 Ремонти'!G4,0)</f>
        <v>0</v>
      </c>
      <c r="D19" s="47"/>
    </row>
    <row r="20" customFormat="false" ht="7.5" hidden="false" customHeight="true" outlineLevel="0" collapsed="false"/>
    <row r="21" customFormat="false" ht="21.75" hidden="false" customHeight="true" outlineLevel="0" collapsed="false">
      <c r="A21" s="3" t="s">
        <v>247</v>
      </c>
      <c r="B21" s="3"/>
      <c r="C21" s="3"/>
      <c r="D21" s="3"/>
    </row>
    <row r="22" customFormat="false" ht="21.75" hidden="false" customHeight="true" outlineLevel="0" collapsed="false">
      <c r="B22" s="57" t="s">
        <v>248</v>
      </c>
      <c r="C22" s="58" t="n">
        <f aca="false">IFERROR(C12-C19,0)</f>
        <v>0</v>
      </c>
      <c r="D22" s="47"/>
    </row>
    <row r="23" customFormat="false" ht="21.75" hidden="false" customHeight="true" outlineLevel="0" collapsed="false">
      <c r="B23" s="59" t="s">
        <v>249</v>
      </c>
      <c r="C23" s="60" t="n">
        <f aca="false">IFERROR(C19/C12,0)</f>
        <v>0</v>
      </c>
      <c r="D23" s="47"/>
    </row>
    <row r="24" customFormat="false" ht="21.75" hidden="false" customHeight="true" outlineLevel="0" collapsed="false">
      <c r="B24" s="61" t="s">
        <v>250</v>
      </c>
      <c r="C24" s="62" t="n">
        <f aca="false">IFERROR(C12/C5*12,0)</f>
        <v>0</v>
      </c>
      <c r="D24" s="47"/>
    </row>
    <row r="25" customFormat="false" ht="21.75" hidden="false" customHeight="true" outlineLevel="0" collapsed="false">
      <c r="B25" s="63" t="s">
        <v>251</v>
      </c>
      <c r="C25" s="64" t="n">
        <f aca="false">IFERROR(C22/C8*12,0)</f>
        <v>0</v>
      </c>
      <c r="D25" s="47"/>
    </row>
  </sheetData>
  <mergeCells count="17">
    <mergeCell ref="A1:H1"/>
    <mergeCell ref="A2:H2"/>
    <mergeCell ref="A4:D4"/>
    <mergeCell ref="F4:H4"/>
    <mergeCell ref="G5:H5"/>
    <mergeCell ref="G6:H6"/>
    <mergeCell ref="G7:H7"/>
    <mergeCell ref="G8:H8"/>
    <mergeCell ref="G9:H9"/>
    <mergeCell ref="G10:H10"/>
    <mergeCell ref="A11:D11"/>
    <mergeCell ref="G11:H11"/>
    <mergeCell ref="G12:H12"/>
    <mergeCell ref="G13:H13"/>
    <mergeCell ref="G14:H14"/>
    <mergeCell ref="A16:D16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36" hidden="false" customHeight="true" outlineLevel="0" collapsed="false">
      <c r="A1" s="1" t="s">
        <v>252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253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20" t="s">
        <v>137</v>
      </c>
      <c r="B3" s="20" t="s">
        <v>166</v>
      </c>
      <c r="C3" s="20" t="s">
        <v>254</v>
      </c>
      <c r="D3" s="20" t="s">
        <v>255</v>
      </c>
      <c r="E3" s="20" t="s">
        <v>256</v>
      </c>
      <c r="F3" s="20" t="s">
        <v>257</v>
      </c>
      <c r="G3" s="20" t="s">
        <v>258</v>
      </c>
      <c r="H3" s="20" t="s">
        <v>75</v>
      </c>
    </row>
    <row r="4" customFormat="false" ht="21.75" hidden="false" customHeight="true" outlineLevel="0" collapsed="false">
      <c r="A4" s="21" t="n">
        <v>1</v>
      </c>
      <c r="B4" s="27"/>
      <c r="C4" s="65" t="s">
        <v>259</v>
      </c>
      <c r="D4" s="66" t="s">
        <v>22</v>
      </c>
      <c r="E4" s="5"/>
      <c r="F4" s="29" t="s">
        <v>260</v>
      </c>
      <c r="G4" s="5" t="s">
        <v>261</v>
      </c>
      <c r="H4" s="5"/>
    </row>
    <row r="5" customFormat="false" ht="21.75" hidden="false" customHeight="true" outlineLevel="0" collapsed="false">
      <c r="A5" s="22" t="n">
        <v>2</v>
      </c>
      <c r="B5" s="27"/>
      <c r="C5" s="67" t="s">
        <v>262</v>
      </c>
      <c r="D5" s="68" t="s">
        <v>263</v>
      </c>
      <c r="E5" s="5"/>
      <c r="F5" s="29" t="s">
        <v>260</v>
      </c>
      <c r="G5" s="5" t="s">
        <v>261</v>
      </c>
      <c r="H5" s="5"/>
    </row>
    <row r="6" customFormat="false" ht="21.75" hidden="false" customHeight="true" outlineLevel="0" collapsed="false">
      <c r="A6" s="21" t="n">
        <v>3</v>
      </c>
      <c r="B6" s="27"/>
      <c r="C6" s="65" t="s">
        <v>100</v>
      </c>
      <c r="D6" s="66" t="s">
        <v>102</v>
      </c>
      <c r="E6" s="5"/>
      <c r="F6" s="29" t="s">
        <v>260</v>
      </c>
      <c r="G6" s="5" t="s">
        <v>264</v>
      </c>
      <c r="H6" s="5"/>
    </row>
    <row r="7" customFormat="false" ht="21.75" hidden="false" customHeight="true" outlineLevel="0" collapsed="false">
      <c r="A7" s="22" t="n">
        <v>4</v>
      </c>
      <c r="B7" s="27"/>
      <c r="C7" s="67" t="s">
        <v>265</v>
      </c>
      <c r="D7" s="68" t="s">
        <v>266</v>
      </c>
      <c r="E7" s="5"/>
      <c r="F7" s="29" t="s">
        <v>260</v>
      </c>
      <c r="G7" s="5" t="s">
        <v>267</v>
      </c>
      <c r="H7" s="5"/>
    </row>
    <row r="8" customFormat="false" ht="21.75" hidden="false" customHeight="true" outlineLevel="0" collapsed="false">
      <c r="A8" s="21" t="n">
        <v>5</v>
      </c>
      <c r="B8" s="27"/>
      <c r="C8" s="65" t="s">
        <v>268</v>
      </c>
      <c r="D8" s="66" t="s">
        <v>266</v>
      </c>
      <c r="E8" s="5"/>
      <c r="F8" s="29" t="s">
        <v>260</v>
      </c>
      <c r="G8" s="5" t="s">
        <v>267</v>
      </c>
      <c r="H8" s="5"/>
    </row>
    <row r="9" customFormat="false" ht="21.75" hidden="false" customHeight="true" outlineLevel="0" collapsed="false">
      <c r="A9" s="22" t="n">
        <v>6</v>
      </c>
      <c r="B9" s="27"/>
      <c r="C9" s="67" t="s">
        <v>269</v>
      </c>
      <c r="D9" s="68" t="s">
        <v>270</v>
      </c>
      <c r="E9" s="5"/>
      <c r="F9" s="29" t="s">
        <v>260</v>
      </c>
      <c r="G9" s="5" t="s">
        <v>271</v>
      </c>
      <c r="H9" s="5"/>
    </row>
    <row r="10" customFormat="false" ht="21.75" hidden="false" customHeight="true" outlineLevel="0" collapsed="false">
      <c r="A10" s="21" t="n">
        <v>7</v>
      </c>
      <c r="B10" s="27"/>
      <c r="C10" s="65" t="s">
        <v>272</v>
      </c>
      <c r="D10" s="66" t="s">
        <v>273</v>
      </c>
      <c r="E10" s="5"/>
      <c r="F10" s="29" t="s">
        <v>260</v>
      </c>
      <c r="G10" s="5" t="s">
        <v>274</v>
      </c>
      <c r="H10" s="5"/>
    </row>
    <row r="11" customFormat="false" ht="21.75" hidden="false" customHeight="true" outlineLevel="0" collapsed="false">
      <c r="A11" s="22" t="n">
        <v>8</v>
      </c>
      <c r="B11" s="27"/>
      <c r="C11" s="67" t="s">
        <v>275</v>
      </c>
      <c r="D11" s="68" t="s">
        <v>276</v>
      </c>
      <c r="E11" s="5"/>
      <c r="F11" s="29" t="s">
        <v>260</v>
      </c>
      <c r="G11" s="5" t="s">
        <v>277</v>
      </c>
      <c r="H11" s="5"/>
    </row>
    <row r="12" customFormat="false" ht="21.75" hidden="false" customHeight="true" outlineLevel="0" collapsed="false">
      <c r="A12" s="21" t="n">
        <v>9</v>
      </c>
      <c r="B12" s="27"/>
      <c r="C12" s="65" t="s">
        <v>278</v>
      </c>
      <c r="D12" s="66" t="s">
        <v>279</v>
      </c>
      <c r="E12" s="5"/>
      <c r="F12" s="29" t="s">
        <v>260</v>
      </c>
      <c r="G12" s="5" t="s">
        <v>277</v>
      </c>
      <c r="H12" s="5"/>
    </row>
    <row r="13" customFormat="false" ht="21.75" hidden="false" customHeight="true" outlineLevel="0" collapsed="false">
      <c r="A13" s="22" t="n">
        <v>10</v>
      </c>
      <c r="B13" s="27"/>
      <c r="C13" s="67" t="s">
        <v>280</v>
      </c>
      <c r="D13" s="68" t="s">
        <v>72</v>
      </c>
      <c r="E13" s="5"/>
      <c r="F13" s="29" t="s">
        <v>131</v>
      </c>
      <c r="G13" s="5" t="s">
        <v>281</v>
      </c>
      <c r="H13" s="5"/>
    </row>
    <row r="14" customFormat="false" ht="21.75" hidden="false" customHeight="true" outlineLevel="0" collapsed="false">
      <c r="A14" s="21" t="n">
        <v>11</v>
      </c>
      <c r="B14" s="27"/>
      <c r="C14" s="65" t="s">
        <v>282</v>
      </c>
      <c r="D14" s="66" t="s">
        <v>72</v>
      </c>
      <c r="E14" s="5"/>
      <c r="F14" s="29" t="s">
        <v>131</v>
      </c>
      <c r="G14" s="5" t="s">
        <v>281</v>
      </c>
      <c r="H14" s="5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F4:F35" type="list">
      <formula1>"Да,Не,Копие,Скенирано"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2026-04-22T07:46:18Z</dcterms:created>
  <dc:creator>openpyxl</dc:creator>
  <dc:description/>
  <dc:language>en-US</dc:language>
  <cp:lastModifiedBy/>
  <dcterms:modified xsi:type="dcterms:W3CDTF">2026-04-22T07:46:18Z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