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eodorboev/Downloads/"/>
    </mc:Choice>
  </mc:AlternateContent>
  <xr:revisionPtr revIDLastSave="0" documentId="8_{8B6CEABF-06A2-E347-968D-AB6BB84B2E16}" xr6:coauthVersionLast="47" xr6:coauthVersionMax="47" xr10:uidLastSave="{00000000-0000-0000-0000-000000000000}"/>
  <bookViews>
    <workbookView xWindow="0" yWindow="760" windowWidth="28540" windowHeight="17380" tabRatio="500" firstSheet="1" activeTab="7" xr2:uid="{00000000-000D-0000-FFFF-FFFF00000000}"/>
  </bookViews>
  <sheets>
    <sheet name="💰 Структура на бюджета" sheetId="1" r:id="rId1"/>
    <sheet name="📊 Бюджетна таблица" sheetId="2" r:id="rId2"/>
    <sheet name="💳 Схема на плащане" sheetId="3" r:id="rId3"/>
    <sheet name="📋 Анализ на оферти" sheetId="4" r:id="rId4"/>
    <sheet name="📈 ROI калкулатор" sheetId="5" r:id="rId5"/>
    <sheet name="🔍 Контрол и индикатори" sheetId="6" r:id="rId6"/>
    <sheet name="🏚️ Стар vs Нов имот" sheetId="7" r:id="rId7"/>
    <sheet name="✅ Фазов контрол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5" i="8" l="1"/>
  <c r="C21" i="7"/>
  <c r="D37" i="6"/>
  <c r="D36" i="6"/>
  <c r="D35" i="6"/>
  <c r="D34" i="6"/>
  <c r="D33" i="6"/>
  <c r="D32" i="6"/>
  <c r="A21" i="6"/>
  <c r="E18" i="6"/>
  <c r="E17" i="6"/>
  <c r="E16" i="6"/>
  <c r="E15" i="6"/>
  <c r="E14" i="6"/>
  <c r="G20" i="5"/>
  <c r="D20" i="5"/>
  <c r="H20" i="5" s="1"/>
  <c r="G17" i="4"/>
  <c r="E17" i="4"/>
  <c r="C17" i="4"/>
  <c r="G16" i="4"/>
  <c r="E16" i="4"/>
  <c r="C16" i="4"/>
  <c r="A14" i="3"/>
  <c r="D13" i="3"/>
  <c r="E13" i="3" s="1"/>
  <c r="C13" i="3"/>
  <c r="G10" i="3"/>
  <c r="C10" i="3"/>
  <c r="G9" i="3"/>
  <c r="C9" i="3"/>
  <c r="G8" i="3"/>
  <c r="C8" i="3"/>
  <c r="G7" i="3"/>
  <c r="C7" i="3"/>
  <c r="H41" i="2"/>
  <c r="H43" i="2" s="1"/>
  <c r="G41" i="2"/>
  <c r="I39" i="2"/>
  <c r="F39" i="2"/>
  <c r="I38" i="2"/>
  <c r="F38" i="2"/>
  <c r="I37" i="2"/>
  <c r="F37" i="2"/>
  <c r="I36" i="2"/>
  <c r="F36" i="2"/>
  <c r="I34" i="2"/>
  <c r="F34" i="2"/>
  <c r="I33" i="2"/>
  <c r="F33" i="2"/>
  <c r="I31" i="2"/>
  <c r="F31" i="2"/>
  <c r="I30" i="2"/>
  <c r="F30" i="2"/>
  <c r="I29" i="2"/>
  <c r="F29" i="2"/>
  <c r="I27" i="2"/>
  <c r="F27" i="2"/>
  <c r="I26" i="2"/>
  <c r="F26" i="2"/>
  <c r="I24" i="2"/>
  <c r="F24" i="2"/>
  <c r="I23" i="2"/>
  <c r="F23" i="2"/>
  <c r="I22" i="2"/>
  <c r="F22" i="2"/>
  <c r="I20" i="2"/>
  <c r="F20" i="2"/>
  <c r="I19" i="2"/>
  <c r="F19" i="2"/>
  <c r="I18" i="2"/>
  <c r="F18" i="2"/>
  <c r="I16" i="2"/>
  <c r="F16" i="2"/>
  <c r="I15" i="2"/>
  <c r="F15" i="2"/>
  <c r="I13" i="2"/>
  <c r="F13" i="2"/>
  <c r="I12" i="2"/>
  <c r="F12" i="2"/>
  <c r="I11" i="2"/>
  <c r="F11" i="2"/>
  <c r="I10" i="2"/>
  <c r="F10" i="2"/>
  <c r="I9" i="2"/>
  <c r="I41" i="2" s="1"/>
  <c r="F9" i="2"/>
  <c r="F41" i="2" s="1"/>
  <c r="I7" i="2"/>
  <c r="F7" i="2"/>
  <c r="I6" i="2"/>
  <c r="F6" i="2"/>
  <c r="H22" i="1"/>
  <c r="F22" i="1"/>
  <c r="F17" i="1"/>
  <c r="F16" i="1"/>
  <c r="F15" i="1"/>
  <c r="C11" i="1"/>
  <c r="F10" i="1"/>
  <c r="E10" i="1"/>
  <c r="D10" i="1"/>
  <c r="F9" i="1"/>
  <c r="E9" i="1"/>
  <c r="D9" i="1"/>
  <c r="F8" i="1"/>
  <c r="E8" i="1"/>
  <c r="D8" i="1"/>
  <c r="F7" i="1"/>
  <c r="E7" i="1"/>
  <c r="D7" i="1"/>
  <c r="D11" i="1" s="1"/>
  <c r="F42" i="2" l="1"/>
  <c r="F43" i="2" s="1"/>
  <c r="I43" i="2" s="1"/>
  <c r="F13" i="3"/>
</calcChain>
</file>

<file path=xl/sharedStrings.xml><?xml version="1.0" encoding="utf-8"?>
<sst xmlns="http://schemas.openxmlformats.org/spreadsheetml/2006/main" count="458" uniqueCount="330">
  <si>
    <t>💰  СТРУКТУРА НА БЮДЖЕТА  —  Четирите категории</t>
  </si>
  <si>
    <t>Въведете общия бюджет в жълтата клетка → всичко се изчислява автоматично</t>
  </si>
  <si>
    <t>🏠  ОБЩ БЮДЖЕТ ЗА РЕМОНТ (лв.)</t>
  </si>
  <si>
    <t>Категория</t>
  </si>
  <si>
    <t>Дял</t>
  </si>
  <si>
    <t>Сума (лв.)</t>
  </si>
  <si>
    <t>Мин. (лв.)</t>
  </si>
  <si>
    <t>Макс. (лв.)</t>
  </si>
  <si>
    <t>Описание и правила</t>
  </si>
  <si>
    <t>👷 Труд</t>
  </si>
  <si>
    <t>Зида, шпакловка, ВиК, електро, плочки — всичко платено на майстори. Най-голямата позиция. НЕ пестете тук — евтиният труд се плаща двойно.</t>
  </si>
  <si>
    <t>🧱 Материали</t>
  </si>
  <si>
    <t>Паркет, плочки, бои, тръби, кабели, гипсокартон. Инвестирайте в качество за основите — те са невидими, но важни.</t>
  </si>
  <si>
    <t>🚿 Оборудване</t>
  </si>
  <si>
    <t>Санитария, смесители, осветление, кухненска техника. Наем → среден клас. Лично → по-висок. Препродажба → само ако носи ROI.</t>
  </si>
  <si>
    <t>🛡️ Резерв (ЗАДЪЛЖИТЕЛЕН)</t>
  </si>
  <si>
    <t>НИКОГА не харчете предварително! Той е за изненадите — влага, скъсан кабел, закъснение. Без резерв ремонтът спира на половина.</t>
  </si>
  <si>
    <t>✅  ОБЩО (контролна сума)</t>
  </si>
  <si>
    <t>А4.  РЕЗЕРВЕН БУФЕР — изберете вид имот</t>
  </si>
  <si>
    <t>Вид имот</t>
  </si>
  <si>
    <t>% Буфер</t>
  </si>
  <si>
    <t>Сума буфер (лв.)</t>
  </si>
  <si>
    <t>Препоръка</t>
  </si>
  <si>
    <t>🏗️ Нов имот (до 5 год.)</t>
  </si>
  <si>
    <t>Малко изненади — стандартен буфер</t>
  </si>
  <si>
    <t>🏠 Стандартен ремонт (10–30 год.)</t>
  </si>
  <si>
    <t>Нормален диапазон 20–25%</t>
  </si>
  <si>
    <t>🏚️ Стар имот (30+ год.)</t>
  </si>
  <si>
    <t>МНОГО изненади — бюджетирайте щедро</t>
  </si>
  <si>
    <t>ПРАВИЛОТО:  Бюджет на кв.м при пълен ремонт в София</t>
  </si>
  <si>
    <t>Стандарт</t>
  </si>
  <si>
    <t>Луксозен</t>
  </si>
  <si>
    <t>Въведете вашата площ (кв.м):</t>
  </si>
  <si>
    <t>кв.м</t>
  </si>
  <si>
    <t>▶  ЛУКСОЗЕН (лв.):</t>
  </si>
  <si>
    <t>📊  БЮДЖЕТНА ТАБЛИЦА  —  ПЛАН vs РЕАЛНОСТ</t>
  </si>
  <si>
    <t>Актуализирайте след ВСЯКО плащане • Жълти клетки = въвеждате вие</t>
  </si>
  <si>
    <t>№</t>
  </si>
  <si>
    <t>Позиция / Дейност</t>
  </si>
  <si>
    <t>Ед.</t>
  </si>
  <si>
    <t>Кол.</t>
  </si>
  <si>
    <t>СТАТУС</t>
  </si>
  <si>
    <t>% изпълнен</t>
  </si>
  <si>
    <t>🔴  ЗАДЪЛЖИТЕЛНИ — задължително се изпълняват</t>
  </si>
  <si>
    <t>Ел. инсталация — пълна подмяна</t>
  </si>
  <si>
    <t>компл.</t>
  </si>
  <si>
    <t>⏳ Предстои</t>
  </si>
  <si>
    <t>ВиК инсталация — пълна подмяна PPR</t>
  </si>
  <si>
    <t>🟡  ГРУБИ РАБОТИ</t>
  </si>
  <si>
    <t>Събаряне и кортене</t>
  </si>
  <si>
    <t>Хидроизолация — баня/кухня</t>
  </si>
  <si>
    <t>Мазилки по стени</t>
  </si>
  <si>
    <t>Нивелираща замазка под</t>
  </si>
  <si>
    <t>Гипсокартон тавани</t>
  </si>
  <si>
    <t>🟡  ШПАКЛОВКА И БОЯ</t>
  </si>
  <si>
    <t>Шпакловка на стени</t>
  </si>
  <si>
    <t>Боядисване — 2 пласта</t>
  </si>
  <si>
    <t>🟡  НАСТИЛКИ</t>
  </si>
  <si>
    <t>Подова настилка LVP/SPC</t>
  </si>
  <si>
    <t>Плочки — баня</t>
  </si>
  <si>
    <t>Плочки — кухня</t>
  </si>
  <si>
    <t>🟡  БАНЯ</t>
  </si>
  <si>
    <t>Тоалетна + биде</t>
  </si>
  <si>
    <t>бр.</t>
  </si>
  <si>
    <t>Мивка + смесител</t>
  </si>
  <si>
    <t>Вана/душ кабина</t>
  </si>
  <si>
    <t>🟡  КУХНЯ</t>
  </si>
  <si>
    <t>Кухненски шкафове</t>
  </si>
  <si>
    <t>Котлон + фурна + абсорбатор</t>
  </si>
  <si>
    <t>🟡  ДОГРАМА</t>
  </si>
  <si>
    <t>Прозорци PVC 3-слойни</t>
  </si>
  <si>
    <t>Входна врата — блиндирана</t>
  </si>
  <si>
    <t>Интериорни врати</t>
  </si>
  <si>
    <t>🟢  ФИНИШНИ РАБОТИ</t>
  </si>
  <si>
    <t>Осветление — луни + пендел</t>
  </si>
  <si>
    <t>Електрически контакти и ключове</t>
  </si>
  <si>
    <t>➕  ДОПЪЛНИТЕЛНИ РАЗХОДИ</t>
  </si>
  <si>
    <t>Извозване строителни отпадъци</t>
  </si>
  <si>
    <t>Почистване след ремонт</t>
  </si>
  <si>
    <t>Транспорт на материали</t>
  </si>
  <si>
    <t>Временно настаняване (месеци)</t>
  </si>
  <si>
    <t>мес.</t>
  </si>
  <si>
    <t>ОБЩО БЕЗ РЕЗЕРВ</t>
  </si>
  <si>
    <t>+ Резерв 20% (буфер)</t>
  </si>
  <si>
    <t>🎯  ОБЩО С РЕЗЕРВ</t>
  </si>
  <si>
    <t>💳  СХЕМА НА ПЛАЩАНЕ  30 / 30 / 30 / 10</t>
  </si>
  <si>
    <t>Контролирате ремонта с парите — не с молби</t>
  </si>
  <si>
    <t>Фаза</t>
  </si>
  <si>
    <t>Сума по договор
(лв.)</t>
  </si>
  <si>
    <t>Дата по
договор</t>
  </si>
  <si>
    <t>Платено на
(дата)</t>
  </si>
  <si>
    <t>Платена сума
(лв.)</t>
  </si>
  <si>
    <t>Разлика
(лв.)</t>
  </si>
  <si>
    <t>Статус</t>
  </si>
  <si>
    <t>Бележки / Протокол</t>
  </si>
  <si>
    <t>1️⃣  АВАНС
При подписване на договор</t>
  </si>
  <si>
    <t>Предстои</t>
  </si>
  <si>
    <t>Позволява на майстора да купи материали и да стартира. НЕ ПОВЕЧЕ от 30%!</t>
  </si>
  <si>
    <t>2️⃣  СРЕДНА ФАЗА
При завършено грубо строителство</t>
  </si>
  <si>
    <t>ВиК и ел. в стени, замазки, мазилки. Проверявате лично. Снимки задължителни.</t>
  </si>
  <si>
    <t>3️⃣  ФИНИШ
При завършени довършителни работи</t>
  </si>
  <si>
    <t>Плочки, шпакловка, боя, санитария, инсталации. Тест на всички системи!</t>
  </si>
  <si>
    <t>4️⃣  ГАРАНЦИЯ
30–90 дни след предаване</t>
  </si>
  <si>
    <t>Задържате докато не се проявят скрити дефекти. ЗАДЪЛЖИТЕЛЕН протокол!</t>
  </si>
  <si>
    <t>🚫  НИКОГА не плащайте повече от 50% преди края на основните работи (ВиК + ел. + замазки). Ако майсторът настоява — ЧЕРВЕН ФЛАГ!</t>
  </si>
  <si>
    <t>📊  СВОДКА НА ПЛАЩАНИЯТА</t>
  </si>
  <si>
    <t>📋  АНАЛИЗ И СРАВНЕНИЕ НА ОФЕРТИ</t>
  </si>
  <si>
    <t>Минимум 3 оферти за всяка позиция  |  НЕ избирайте автоматично най-евтиния</t>
  </si>
  <si>
    <t>Параметър</t>
  </si>
  <si>
    <t>🏗️ Изпълнител 1</t>
  </si>
  <si>
    <t>🏗️ Изпълнител 2</t>
  </si>
  <si>
    <t>🏗️ Изпълнител 3</t>
  </si>
  <si>
    <t>Фирма / Майстор</t>
  </si>
  <si>
    <t>Срок (дни)</t>
  </si>
  <si>
    <t>Гаранция (месеца)</t>
  </si>
  <si>
    <t>Разбивка по позиции?</t>
  </si>
  <si>
    <t>Референции предоставени?</t>
  </si>
  <si>
    <t>Иска аванс повече от 30%?</t>
  </si>
  <si>
    <t>Познат препоръча?</t>
  </si>
  <si>
    <t>Обща оценка (1–10)</t>
  </si>
  <si>
    <t>🏆  НАЙ-НИСКА ЦЕНА</t>
  </si>
  <si>
    <t>📊  ПРЕПОРЪЧАН (по оценка)</t>
  </si>
  <si>
    <t>⚠️  ЧЕРВЕНИ ФЛАГОВЕ — проверете всеки изпълнител</t>
  </si>
  <si>
    <t>🚩  Оферта без разбивка по позиции</t>
  </si>
  <si>
    <t>→ Откажете незабавно</t>
  </si>
  <si>
    <t>🚩  Цена &gt;30% под средната</t>
  </si>
  <si>
    <t>→ Некачествено или непълен обхват</t>
  </si>
  <si>
    <t>🚩  Не може да покаже референции</t>
  </si>
  <si>
    <t>→ НепровереН риск</t>
  </si>
  <si>
    <t>🚩  Иска &gt;50% аванс</t>
  </si>
  <si>
    <t>🚩  Не дава писмена оферта</t>
  </si>
  <si>
    <t>🚩  Избягва конкретни срокове</t>
  </si>
  <si>
    <t>→ Вероятно ще закъснее</t>
  </si>
  <si>
    <t>📈  ROI КАЛКУЛАТОР  —  Кои ремонти се изплащат?</t>
  </si>
  <si>
    <t>Формула:  ROI% = (Добавена стойност ÷ Разход) × 100  |  Въведете реалните си числа</t>
  </si>
  <si>
    <t>Вид ремонт / подобрение</t>
  </si>
  <si>
    <t>ROI%
(мин.–макс.)</t>
  </si>
  <si>
    <t>🖌️ Боядисване цял имот</t>
  </si>
  <si>
    <t>200–400%</t>
  </si>
  <si>
    <t>✅ Задължително</t>
  </si>
  <si>
    <t>🚿 Пълен ремонт баня</t>
  </si>
  <si>
    <t>150–200%</t>
  </si>
  <si>
    <t>✅ Силен ROI</t>
  </si>
  <si>
    <t>🍳 Пълен ремонт кухня</t>
  </si>
  <si>
    <t>150–175%</t>
  </si>
  <si>
    <t>🪵 Подови настилки</t>
  </si>
  <si>
    <t>100–150%</t>
  </si>
  <si>
    <t>✅ Добър ROI</t>
  </si>
  <si>
    <t>📸 Home Staging</t>
  </si>
  <si>
    <t>—</t>
  </si>
  <si>
    <t>200–500%</t>
  </si>
  <si>
    <t>💡 Осветление</t>
  </si>
  <si>
    <t>300–500%</t>
  </si>
  <si>
    <t>✅ Висок ROI</t>
  </si>
  <si>
    <t>💧 Нова ВиК инсталация</t>
  </si>
  <si>
    <t>50–80%</t>
  </si>
  <si>
    <t>🟡 Нужда, не ROI</t>
  </si>
  <si>
    <t>⚡ Нова Ел. инсталация</t>
  </si>
  <si>
    <t>50–75%</t>
  </si>
  <si>
    <t>🪟 Нова дограма</t>
  </si>
  <si>
    <t>40–60%</t>
  </si>
  <si>
    <t>🟡 Зависи от имота</t>
  </si>
  <si>
    <t>🏆 Луксозни финишни</t>
  </si>
  <si>
    <t>30–50%</t>
  </si>
  <si>
    <t>🔴 Слаб ROI</t>
  </si>
  <si>
    <t>🤖 Smart Home система</t>
  </si>
  <si>
    <t>60–80%</t>
  </si>
  <si>
    <t>🟡 Само при Airbnb</t>
  </si>
  <si>
    <t>🔢  ВАШ ЛИЧЕН ROI КАЛКУЛАТОР — въведете вашите числа</t>
  </si>
  <si>
    <t>📊  Вашият ROI%</t>
  </si>
  <si>
    <t>Мултипликатор (x)</t>
  </si>
  <si>
    <t>🔍  КОНТРОЛ И ИНДИКАТОРИ ЗА ТРЕВОГА</t>
  </si>
  <si>
    <t>Въведете текущите данни → системата сигнализира автоматично</t>
  </si>
  <si>
    <t>ТЕКУЩИ ДАННИ — попълнете</t>
  </si>
  <si>
    <t>% завършеност на ремонта</t>
  </si>
  <si>
    <t>Брой непредвидени разходи (до момента)</t>
  </si>
  <si>
    <t>Начало на ремонта (дата)</t>
  </si>
  <si>
    <t>Планирано завършване (дата)</t>
  </si>
  <si>
    <t>АВТОМАТИЧНО ИЗЧИСЛЕНИ ПОКАЗАТЕЛИ</t>
  </si>
  <si>
    <t>% изразходван бюджет</t>
  </si>
  <si>
    <t>Разлика: разход% - напредък%</t>
  </si>
  <si>
    <t>% остатъчен резерв</t>
  </si>
  <si>
    <t>В3.  РЕАКЦИЯ ПРИ НАДХВЪРЛЯНЕ — АВТОМАТИЧНА СИГНАЛИЗАЦИЯ</t>
  </si>
  <si>
    <t>🟢 до 10% надхвърляне</t>
  </si>
  <si>
    <t>🟡 10–20% надхвърляне</t>
  </si>
  <si>
    <t>🔴 над 20% надхвърляне</t>
  </si>
  <si>
    <t>Нормално — използвате резерва</t>
  </si>
  <si>
    <t>Внимание — преразглеждайте</t>
  </si>
  <si>
    <t>Сериозен проблем — действайте</t>
  </si>
  <si>
    <t>→ Проверете произхода на разхода</t>
  </si>
  <si>
    <t>→ Спрете и анализирайте причините</t>
  </si>
  <si>
    <t>→ Спрете плащанията временно</t>
  </si>
  <si>
    <t>→ Документирайте го в таблицата</t>
  </si>
  <si>
    <t>→ Ревизирайте оставащите позиции</t>
  </si>
  <si>
    <t>→ Искайте писмено обяснение</t>
  </si>
  <si>
    <t>→ Продължете без промяна на плана</t>
  </si>
  <si>
    <t>→ Потърсете по-евтини алтернативи</t>
  </si>
  <si>
    <t>→ Консултирайте се с юрист</t>
  </si>
  <si>
    <t>→ Намалете резервния буфер съответно</t>
  </si>
  <si>
    <t>→ Преговаряйте с изпълнителя</t>
  </si>
  <si>
    <t>→ Преценете дали да смените изпълнителя</t>
  </si>
  <si>
    <t>Г3.  ШЕСТ ИНДИКАТОРА ЗА ТРЕВОГА</t>
  </si>
  <si>
    <t>!</t>
  </si>
  <si>
    <t>Индикатор</t>
  </si>
  <si>
    <t>Условие</t>
  </si>
  <si>
    <t>Формула / Проверка</t>
  </si>
  <si>
    <t>Ручна проверка
(Да/Не)</t>
  </si>
  <si>
    <t>Бележка</t>
  </si>
  <si>
    <t>🚨</t>
  </si>
  <si>
    <t>Разходите изпреварват напредъка</t>
  </si>
  <si>
    <t>Разход% &gt; Напредък%</t>
  </si>
  <si>
    <t>Не</t>
  </si>
  <si>
    <t>Тежест: ВИСОК</t>
  </si>
  <si>
    <t>Добавете бележка...</t>
  </si>
  <si>
    <t>Резервът е под 5%</t>
  </si>
  <si>
    <t>Остатъчен резерв &lt; 5% от общ бюджет</t>
  </si>
  <si>
    <t>⚠️</t>
  </si>
  <si>
    <t>Чести непредвидени работи</t>
  </si>
  <si>
    <t>Брой непредвидени &gt; 3</t>
  </si>
  <si>
    <t>Тежест: СРЕДЕН</t>
  </si>
  <si>
    <t>Без касови бележки за материали</t>
  </si>
  <si>
    <t>Ръчна проверка — маркирайте</t>
  </si>
  <si>
    <t>💡</t>
  </si>
  <si>
    <t>Прогресивни закъснения</t>
  </si>
  <si>
    <t>Тежест: НИСЪК</t>
  </si>
  <si>
    <t>Изпълнителят избягва срещи</t>
  </si>
  <si>
    <t>🏚️  СТАР vs НОВ ИМОТ — Бюджетна сравнителна</t>
  </si>
  <si>
    <t>Една и съща площ — съвсем различна финансова логика</t>
  </si>
  <si>
    <t>🏚️  Стар имот
(70–90-те, панели/тухла)</t>
  </si>
  <si>
    <t>🏗️  Нов имот
(до 5 год., ново стр-во)</t>
  </si>
  <si>
    <t>Вашият имот →</t>
  </si>
  <si>
    <t>💰 Покупна цена</t>
  </si>
  <si>
    <t>По-ниска — повече потенциал за добавена стойност</t>
  </si>
  <si>
    <t>По-висока — по-малко пространство за ROI</t>
  </si>
  <si>
    <t>🔨 Бюджет за ремонт</t>
  </si>
  <si>
    <t>🛡️ Резервен буфер</t>
  </si>
  <si>
    <t>30–40% (много изненади)</t>
  </si>
  <si>
    <t>15–20% (малко изненади)</t>
  </si>
  <si>
    <t>⏱️ Срок на ремонта</t>
  </si>
  <si>
    <t>3–12 месеца</t>
  </si>
  <si>
    <t>1–4 месеца</t>
  </si>
  <si>
    <t>🕵️ Скрити разходи</t>
  </si>
  <si>
    <t>Много — задължителна оценка преди покупка</t>
  </si>
  <si>
    <t>Малко — но съществуват</t>
  </si>
  <si>
    <t>⚡ Задължителни подмени</t>
  </si>
  <si>
    <t>ВиК + Ел. + Изолация</t>
  </si>
  <si>
    <t>Обикновено само финиш</t>
  </si>
  <si>
    <t>📈 Потенциален ROI</t>
  </si>
  <si>
    <t>ВИСОК — ако е купен добре</t>
  </si>
  <si>
    <t>СРЕДЕН — по-малко добавена стойност</t>
  </si>
  <si>
    <t>🗺️ Стратегия</t>
  </si>
  <si>
    <t>Купи → Ремонтирай → Продай / Отдай</t>
  </si>
  <si>
    <t>Купи → Довърши → Отдай</t>
  </si>
  <si>
    <t>⚠️ Риск от надхвърляне</t>
  </si>
  <si>
    <t>ВИСОК — бюджетирайте щедро</t>
  </si>
  <si>
    <t>НИС — по-предвидим разход</t>
  </si>
  <si>
    <t>🏆 Кога да изберете?</t>
  </si>
  <si>
    <t>При по-нисък бюджет и търпение за ремонт</t>
  </si>
  <si>
    <t>При ограничено време и нежелание за изненади</t>
  </si>
  <si>
    <t>🔢  МИНИ КАЛКУЛАТОР — въведете данните на вашия имот</t>
  </si>
  <si>
    <t>Площ на имота (кв.м)</t>
  </si>
  <si>
    <t>Вид имот (Стар / Нов)</t>
  </si>
  <si>
    <t xml:space="preserve">  бюджет + резерв (авт.)</t>
  </si>
  <si>
    <t>✅  ФАЗОВ КОНТРОЛ — Проверявайте ПРЕДИ да платите</t>
  </si>
  <si>
    <t>Отметнете всяка точка при проверка — НЕ плащайте без изпълнена фаза</t>
  </si>
  <si>
    <t>Контролна точка</t>
  </si>
  <si>
    <t>Проверено?
(✅/❌)</t>
  </si>
  <si>
    <t>Дата на пров.</t>
  </si>
  <si>
    <t>Снимки
(Да/Не)</t>
  </si>
  <si>
    <t>Бележки</t>
  </si>
  <si>
    <t>Фаза 1
ПРЕДИ СТАРТ</t>
  </si>
  <si>
    <t>Договор подписан</t>
  </si>
  <si>
    <t>Материали уточнени и одобрени</t>
  </si>
  <si>
    <t>Срокове потвърдени писмено</t>
  </si>
  <si>
    <t>Работното място защитено (мебели, под)</t>
  </si>
  <si>
    <t>Фаза 2
ГРУБА ВиК и ЕЛ.</t>
  </si>
  <si>
    <t>Тест под налягане 6 bar / 24 ч.</t>
  </si>
  <si>
    <t>Проверка на всички разклонения</t>
  </si>
  <si>
    <t>Кабелите в гофрирани тръби</t>
  </si>
  <si>
    <t>📸 Снимка ПРЕДИ заливане — задължително!</t>
  </si>
  <si>
    <t>Фаза 3
ЗАМАЗКИ и МАЗИЛКИ</t>
  </si>
  <si>
    <t>Влажност под 2% преди настилка</t>
  </si>
  <si>
    <t>Нивото проверено с рейка</t>
  </si>
  <si>
    <t>Звукоизолация под настилка поставена</t>
  </si>
  <si>
    <t>Срок на сухене спазен (1 ден/мм)</t>
  </si>
  <si>
    <t>Фаза 4
НАСТИЛКИ и ПЛОЧКИ</t>
  </si>
  <si>
    <t>Хидроизолация ПРЕДИ плочките — задължително</t>
  </si>
  <si>
    <t>Фуга минимум 2 мм</t>
  </si>
  <si>
    <t>Ниво и перпендикулярност проверени</t>
  </si>
  <si>
    <t>Плочките не кънтят при почукване</t>
  </si>
  <si>
    <t>Фаза 5
БОЯДИСВАНЕ и ФИНИШ</t>
  </si>
  <si>
    <t>Грунд нанесен преди боята</t>
  </si>
  <si>
    <t>Минимум 2 пласта боя</t>
  </si>
  <si>
    <t>Малерска лента за ъглите</t>
  </si>
  <si>
    <t>📸 Снимки на всяка стена завършена</t>
  </si>
  <si>
    <t>Фаза 6
ФИНАЛНО ПРЕДАВАНЕ</t>
  </si>
  <si>
    <t>Тест на ВСИЧКИ контакти и прекъсвачи</t>
  </si>
  <si>
    <t>Тест на ВиК — всички точки</t>
  </si>
  <si>
    <t>Протокол за предаване — два подписа</t>
  </si>
  <si>
    <t>Гаранционна документация предадена</t>
  </si>
  <si>
    <t>📊  ПРОГРЕС: Завършени точки</t>
  </si>
  <si>
    <t>200 – 350 eur./кв.м</t>
  </si>
  <si>
    <t>350 – 600+ eur./кв.м</t>
  </si>
  <si>
    <t>▶  Ориентировъчен бюджет СТАНДАРТ (eur.):</t>
  </si>
  <si>
    <t>Ед. цена
(eur.)</t>
  </si>
  <si>
    <t>БЮДЖЕТ
(eur.)</t>
  </si>
  <si>
    <t>Труд
(eur.)</t>
  </si>
  <si>
    <t>РЕАЛНА
стойност
(eur.)</t>
  </si>
  <si>
    <t>РАЗЛИКА
(eur.)</t>
  </si>
  <si>
    <t>📝  СТОЙНОСТ НА ДОГОВОРА (eur.)</t>
  </si>
  <si>
    <t>Обща цена (eur)</t>
  </si>
  <si>
    <t>Труд (eur)</t>
  </si>
  <si>
    <t>Материали (eur)</t>
  </si>
  <si>
    <t>Разход
Мин (eur)</t>
  </si>
  <si>
    <t>Разход
Макс (eur)</t>
  </si>
  <si>
    <t>Добавена ст.
Мин (eur)</t>
  </si>
  <si>
    <t>Добавена ст.
Макс (eur)</t>
  </si>
  <si>
    <t>Вашият разход (eur)
→ Въведете</t>
  </si>
  <si>
    <t>Вашият разход за ремонт (eur)</t>
  </si>
  <si>
    <t>Добавена стойност (eur)</t>
  </si>
  <si>
    <t>Общ бюджет (eur)</t>
  </si>
  <si>
    <t>Изразходвано до момента (eur)</t>
  </si>
  <si>
    <t>Резерв — изразходван (eur)</t>
  </si>
  <si>
    <t>Оставащ бюджет (eur)</t>
  </si>
  <si>
    <t>Оставащ резерв (eur)</t>
  </si>
  <si>
    <t>15 000 – 50 000+ eur</t>
  </si>
  <si>
    <t>8 000 – 20 000 eur</t>
  </si>
  <si>
    <t>Покупна цена (eur)</t>
  </si>
  <si>
    <t>Ориент. бюджет ремонт (eur)</t>
  </si>
  <si>
    <t>📊  Ориент. разход с резерв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</si>
</sst>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[Red]\(#,##0\);\-"/>
    <numFmt numFmtId="166" formatCode="0.0\x"/>
  </numFmts>
  <fonts count="49" x14ac:knownFonts="1">
    <font>
      <sz val="11"/>
      <color theme="1"/>
      <name val="Calibri"/>
      <family val="2"/>
      <charset val="1"/>
    </font>
    <font>
      <b/>
      <sz val="13"/>
      <color rgb="FFC9A84C"/>
      <name val="Arial"/>
      <family val="2"/>
    </font>
    <font>
      <b/>
      <sz val="9"/>
      <color rgb="FFC9A84C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b/>
      <sz val="9"/>
      <color rgb="FFFFFFFF"/>
      <name val="Arial"/>
      <family val="2"/>
    </font>
    <font>
      <b/>
      <sz val="11"/>
      <color rgb="FF1E293B"/>
      <name val="Arial"/>
      <family val="2"/>
    </font>
    <font>
      <b/>
      <sz val="13"/>
      <color rgb="FF16A34A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334155"/>
      <name val="Arial"/>
      <family val="2"/>
    </font>
    <font>
      <b/>
      <sz val="13"/>
      <color rgb="FF2563EB"/>
      <name val="Arial"/>
      <family val="2"/>
    </font>
    <font>
      <b/>
      <sz val="13"/>
      <color rgb="FF0E7490"/>
      <name val="Arial"/>
      <family val="2"/>
    </font>
    <font>
      <b/>
      <sz val="13"/>
      <color rgb="FFDC2626"/>
      <name val="Arial"/>
      <family val="2"/>
    </font>
    <font>
      <b/>
      <sz val="11"/>
      <color rgb="FFC9A84C"/>
      <name val="Arial"/>
      <family val="2"/>
    </font>
    <font>
      <b/>
      <sz val="10"/>
      <color rgb="FF1E293B"/>
      <name val="Arial"/>
      <family val="2"/>
    </font>
    <font>
      <b/>
      <sz val="12"/>
      <color rgb="FF16A34A"/>
      <name val="Arial"/>
      <family val="2"/>
    </font>
    <font>
      <sz val="10"/>
      <color rgb="FF16A34A"/>
      <name val="Arial"/>
      <family val="2"/>
    </font>
    <font>
      <b/>
      <sz val="12"/>
      <color rgb="FFD97706"/>
      <name val="Arial"/>
      <family val="2"/>
    </font>
    <font>
      <sz val="10"/>
      <color rgb="FFD97706"/>
      <name val="Arial"/>
      <family val="2"/>
    </font>
    <font>
      <b/>
      <sz val="12"/>
      <color rgb="FFDC2626"/>
      <name val="Arial"/>
      <family val="2"/>
    </font>
    <font>
      <sz val="10"/>
      <color rgb="FFDC2626"/>
      <name val="Arial"/>
      <family val="2"/>
    </font>
    <font>
      <b/>
      <sz val="10"/>
      <color rgb="FFC9A84C"/>
      <name val="Arial"/>
      <family val="2"/>
    </font>
    <font>
      <b/>
      <sz val="10"/>
      <color rgb="FF16A34A"/>
      <name val="Arial"/>
      <family val="2"/>
    </font>
    <font>
      <b/>
      <sz val="10"/>
      <color rgb="FFD97706"/>
      <name val="Arial"/>
      <family val="2"/>
    </font>
    <font>
      <sz val="10"/>
      <color rgb="FF64748B"/>
      <name val="Arial"/>
      <family val="2"/>
    </font>
    <font>
      <b/>
      <sz val="10"/>
      <color rgb="FF334155"/>
      <name val="Arial"/>
      <family val="2"/>
    </font>
    <font>
      <sz val="9"/>
      <color rgb="FFFFFFFF"/>
      <name val="Arial"/>
      <family val="2"/>
    </font>
    <font>
      <sz val="10"/>
      <color rgb="FF1E293B"/>
      <name val="Arial"/>
      <family val="2"/>
    </font>
    <font>
      <b/>
      <sz val="11"/>
      <color rgb="FFFFFFFF"/>
      <name val="Arial"/>
      <family val="2"/>
    </font>
    <font>
      <b/>
      <sz val="12"/>
      <color rgb="FFC9A84C"/>
      <name val="Arial"/>
      <family val="2"/>
    </font>
    <font>
      <b/>
      <sz val="14"/>
      <color rgb="FF2563EB"/>
      <name val="Arial"/>
      <family val="2"/>
    </font>
    <font>
      <b/>
      <sz val="12"/>
      <color rgb="FF000000"/>
      <name val="Arial"/>
      <family val="2"/>
    </font>
    <font>
      <i/>
      <sz val="9"/>
      <color rgb="FF475569"/>
      <name val="Arial"/>
      <family val="2"/>
    </font>
    <font>
      <b/>
      <sz val="14"/>
      <color rgb="FF0E7490"/>
      <name val="Arial"/>
      <family val="2"/>
    </font>
    <font>
      <b/>
      <sz val="14"/>
      <color rgb="FF16A34A"/>
      <name val="Arial"/>
      <family val="2"/>
    </font>
    <font>
      <b/>
      <sz val="14"/>
      <color rgb="FFD97706"/>
      <name val="Arial"/>
      <family val="2"/>
    </font>
    <font>
      <b/>
      <sz val="10"/>
      <color rgb="FF000000"/>
      <name val="Arial"/>
      <family val="2"/>
    </font>
    <font>
      <b/>
      <sz val="10"/>
      <color rgb="FFDC2626"/>
      <name val="Arial"/>
      <family val="2"/>
    </font>
    <font>
      <sz val="10"/>
      <color rgb="FF334155"/>
      <name val="Arial"/>
      <family val="2"/>
    </font>
    <font>
      <b/>
      <sz val="11"/>
      <color rgb="FF16A34A"/>
      <name val="Arial"/>
      <family val="2"/>
    </font>
    <font>
      <b/>
      <sz val="11"/>
      <color rgb="FFD97706"/>
      <name val="Arial"/>
      <family val="2"/>
    </font>
    <font>
      <b/>
      <sz val="11"/>
      <color rgb="FFDC2626"/>
      <name val="Arial"/>
      <family val="2"/>
    </font>
    <font>
      <b/>
      <sz val="16"/>
      <color rgb="FFC9A84C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rgb="FF475569"/>
      <name val="Arial"/>
      <family val="2"/>
    </font>
    <font>
      <i/>
      <sz val="10"/>
      <color rgb="FF0000FF"/>
      <name val="Arial"/>
      <family val="2"/>
    </font>
    <font>
      <sz val="10"/>
      <color rgb="FFC9A84C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1E293B"/>
        <bgColor rgb="FF0D1B2A"/>
      </patternFill>
    </fill>
    <fill>
      <patternFill patternType="solid">
        <fgColor rgb="FFFFF9C4"/>
        <bgColor rgb="FFFEF3C7"/>
      </patternFill>
    </fill>
    <fill>
      <patternFill patternType="solid">
        <fgColor rgb="FFDCFCE7"/>
        <bgColor rgb="FFCFFAFE"/>
      </patternFill>
    </fill>
    <fill>
      <patternFill patternType="solid">
        <fgColor rgb="FFEFF6FF"/>
        <bgColor rgb="FFF1F5F9"/>
      </patternFill>
    </fill>
    <fill>
      <patternFill patternType="solid">
        <fgColor rgb="FFF1F5F9"/>
        <bgColor rgb="FFEFF6FF"/>
      </patternFill>
    </fill>
    <fill>
      <patternFill patternType="solid">
        <fgColor rgb="FFDBEAFE"/>
        <bgColor rgb="FFEDE9FE"/>
      </patternFill>
    </fill>
    <fill>
      <patternFill patternType="solid">
        <fgColor rgb="FFCFFAFE"/>
        <bgColor rgb="FFDCFCE7"/>
      </patternFill>
    </fill>
    <fill>
      <patternFill patternType="solid">
        <fgColor rgb="FFFFE4E6"/>
        <bgColor rgb="FFEDE9FE"/>
      </patternFill>
    </fill>
    <fill>
      <patternFill patternType="solid">
        <fgColor rgb="FF0E7490"/>
        <bgColor rgb="FF008080"/>
      </patternFill>
    </fill>
    <fill>
      <patternFill patternType="solid">
        <fgColor rgb="FFFEF3C7"/>
        <bgColor rgb="FFFFF9C4"/>
      </patternFill>
    </fill>
    <fill>
      <patternFill patternType="solid">
        <fgColor rgb="FF16A34A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F8FAFC"/>
        <bgColor rgb="FFFFFFFF"/>
      </patternFill>
    </fill>
    <fill>
      <patternFill patternType="solid">
        <fgColor rgb="FFDC2626"/>
        <bgColor rgb="FF993300"/>
      </patternFill>
    </fill>
    <fill>
      <patternFill patternType="solid">
        <fgColor rgb="FF7C3AED"/>
        <bgColor rgb="FF993366"/>
      </patternFill>
    </fill>
    <fill>
      <patternFill patternType="solid">
        <fgColor rgb="FFEDE9FE"/>
        <bgColor rgb="FFF1F5F9"/>
      </patternFill>
    </fill>
    <fill>
      <patternFill patternType="solid">
        <fgColor rgb="FF2563EB"/>
        <bgColor rgb="FF0066CC"/>
      </patternFill>
    </fill>
  </fills>
  <borders count="4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15" fillId="10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3" fillId="11" borderId="0" xfId="0" applyFont="1" applyFill="1" applyAlignment="1">
      <alignment horizontal="left" vertical="center" indent="1"/>
    </xf>
    <xf numFmtId="0" fontId="10" fillId="1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4" fillId="4" borderId="2" xfId="0" applyNumberFormat="1" applyFont="1" applyFill="1" applyBorder="1" applyAlignment="1">
      <alignment horizontal="right" vertical="center"/>
    </xf>
    <xf numFmtId="0" fontId="0" fillId="2" borderId="0" xfId="0" applyFill="1"/>
    <xf numFmtId="0" fontId="5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9" fontId="7" fillId="5" borderId="2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right" vertical="center"/>
    </xf>
    <xf numFmtId="3" fontId="9" fillId="7" borderId="2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left" vertical="center" wrapText="1"/>
    </xf>
    <xf numFmtId="9" fontId="11" fillId="8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wrapText="1"/>
    </xf>
    <xf numFmtId="9" fontId="12" fillId="9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 wrapText="1"/>
    </xf>
    <xf numFmtId="9" fontId="13" fillId="10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9" fontId="14" fillId="3" borderId="2" xfId="0" applyNumberFormat="1" applyFont="1" applyFill="1" applyBorder="1" applyAlignment="1">
      <alignment horizontal="center" vertical="center"/>
    </xf>
    <xf numFmtId="3" fontId="14" fillId="3" borderId="2" xfId="0" applyNumberFormat="1" applyFont="1" applyFill="1" applyBorder="1" applyAlignment="1">
      <alignment horizontal="right" vertical="center"/>
    </xf>
    <xf numFmtId="0" fontId="0" fillId="3" borderId="0" xfId="0" applyFill="1"/>
    <xf numFmtId="164" fontId="16" fillId="5" borderId="2" xfId="0" applyNumberFormat="1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right" vertical="center"/>
    </xf>
    <xf numFmtId="164" fontId="18" fillId="12" borderId="2" xfId="0" applyNumberFormat="1" applyFont="1" applyFill="1" applyBorder="1" applyAlignment="1">
      <alignment horizontal="center" vertical="center"/>
    </xf>
    <xf numFmtId="164" fontId="20" fillId="10" borderId="2" xfId="0" applyNumberFormat="1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right" vertical="center"/>
    </xf>
    <xf numFmtId="0" fontId="25" fillId="15" borderId="2" xfId="0" applyFont="1" applyFill="1" applyBorder="1" applyAlignment="1">
      <alignment horizontal="left" vertical="center" wrapText="1"/>
    </xf>
    <xf numFmtId="3" fontId="16" fillId="5" borderId="2" xfId="0" applyNumberFormat="1" applyFont="1" applyFill="1" applyBorder="1" applyAlignment="1">
      <alignment horizontal="right" vertical="center"/>
    </xf>
    <xf numFmtId="0" fontId="26" fillId="15" borderId="2" xfId="0" applyFont="1" applyFill="1" applyBorder="1" applyAlignment="1">
      <alignment horizontal="left" vertical="center" wrapText="1"/>
    </xf>
    <xf numFmtId="3" fontId="18" fillId="1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 wrapText="1"/>
    </xf>
    <xf numFmtId="0" fontId="27" fillId="16" borderId="2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/>
    </xf>
    <xf numFmtId="165" fontId="9" fillId="6" borderId="2" xfId="0" applyNumberFormat="1" applyFont="1" applyFill="1" applyBorder="1" applyAlignment="1">
      <alignment horizontal="right" vertical="center"/>
    </xf>
    <xf numFmtId="0" fontId="25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27" fillId="14" borderId="2" xfId="0" applyFont="1" applyFill="1" applyBorder="1" applyAlignment="1">
      <alignment horizontal="center" vertical="center"/>
    </xf>
    <xf numFmtId="0" fontId="28" fillId="12" borderId="2" xfId="0" applyFont="1" applyFill="1" applyBorder="1" applyAlignment="1">
      <alignment horizontal="left" vertical="center" wrapText="1"/>
    </xf>
    <xf numFmtId="0" fontId="27" fillId="13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left" vertical="center" wrapText="1"/>
    </xf>
    <xf numFmtId="0" fontId="27" fillId="17" borderId="2" xfId="0" applyFont="1" applyFill="1" applyBorder="1" applyAlignment="1">
      <alignment horizontal="center" vertical="center"/>
    </xf>
    <xf numFmtId="0" fontId="28" fillId="18" borderId="2" xfId="0" applyFont="1" applyFill="1" applyBorder="1" applyAlignment="1">
      <alignment horizontal="left" vertical="center" wrapText="1"/>
    </xf>
    <xf numFmtId="3" fontId="14" fillId="2" borderId="2" xfId="0" applyNumberFormat="1" applyFont="1" applyFill="1" applyBorder="1" applyAlignment="1">
      <alignment horizontal="right" vertical="center"/>
    </xf>
    <xf numFmtId="3" fontId="24" fillId="12" borderId="2" xfId="0" applyNumberFormat="1" applyFont="1" applyFill="1" applyBorder="1" applyAlignment="1">
      <alignment horizontal="right" vertical="center"/>
    </xf>
    <xf numFmtId="0" fontId="0" fillId="12" borderId="2" xfId="0" applyFill="1" applyBorder="1"/>
    <xf numFmtId="3" fontId="1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/>
    <xf numFmtId="165" fontId="30" fillId="2" borderId="2" xfId="0" applyNumberFormat="1" applyFont="1" applyFill="1" applyBorder="1" applyAlignment="1">
      <alignment horizontal="right" vertical="center"/>
    </xf>
    <xf numFmtId="0" fontId="3" fillId="19" borderId="2" xfId="0" applyFont="1" applyFill="1" applyBorder="1" applyAlignment="1">
      <alignment horizontal="center" vertical="center" wrapText="1"/>
    </xf>
    <xf numFmtId="9" fontId="31" fillId="8" borderId="2" xfId="0" applyNumberFormat="1" applyFont="1" applyFill="1" applyBorder="1" applyAlignment="1">
      <alignment horizontal="center" vertical="center"/>
    </xf>
    <xf numFmtId="3" fontId="32" fillId="6" borderId="2" xfId="0" applyNumberFormat="1" applyFont="1" applyFill="1" applyBorder="1" applyAlignment="1">
      <alignment horizontal="right" vertical="center"/>
    </xf>
    <xf numFmtId="0" fontId="33" fillId="8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9" fontId="34" fillId="9" borderId="2" xfId="0" applyNumberFormat="1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9" fontId="35" fillId="5" borderId="2" xfId="0" applyNumberFormat="1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center" vertical="center" wrapText="1"/>
    </xf>
    <xf numFmtId="9" fontId="36" fillId="12" borderId="2" xfId="0" applyNumberFormat="1" applyFont="1" applyFill="1" applyBorder="1" applyAlignment="1">
      <alignment horizontal="center" vertical="center"/>
    </xf>
    <xf numFmtId="0" fontId="33" fillId="12" borderId="2" xfId="0" applyFont="1" applyFill="1" applyBorder="1" applyAlignment="1">
      <alignment horizontal="left" vertical="center" wrapText="1"/>
    </xf>
    <xf numFmtId="3" fontId="22" fillId="2" borderId="2" xfId="0" applyNumberFormat="1" applyFont="1" applyFill="1" applyBorder="1" applyAlignment="1">
      <alignment horizontal="right" vertical="center"/>
    </xf>
    <xf numFmtId="164" fontId="22" fillId="2" borderId="2" xfId="0" applyNumberFormat="1" applyFont="1" applyFill="1" applyBorder="1" applyAlignment="1">
      <alignment horizontal="right" vertical="center"/>
    </xf>
    <xf numFmtId="0" fontId="5" fillId="19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left" vertical="center" wrapText="1"/>
    </xf>
    <xf numFmtId="3" fontId="39" fillId="5" borderId="2" xfId="0" applyNumberFormat="1" applyFont="1" applyFill="1" applyBorder="1" applyAlignment="1">
      <alignment horizontal="right" vertical="center"/>
    </xf>
    <xf numFmtId="0" fontId="40" fillId="5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39" fillId="5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 wrapText="1"/>
    </xf>
    <xf numFmtId="3" fontId="39" fillId="12" borderId="2" xfId="0" applyNumberFormat="1" applyFont="1" applyFill="1" applyBorder="1" applyAlignment="1">
      <alignment horizontal="right" vertical="center"/>
    </xf>
    <xf numFmtId="0" fontId="41" fillId="12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 wrapText="1"/>
    </xf>
    <xf numFmtId="3" fontId="39" fillId="10" borderId="2" xfId="0" applyNumberFormat="1" applyFont="1" applyFill="1" applyBorder="1" applyAlignment="1">
      <alignment horizontal="right" vertical="center"/>
    </xf>
    <xf numFmtId="0" fontId="42" fillId="10" borderId="2" xfId="0" applyFont="1" applyFill="1" applyBorder="1" applyAlignment="1">
      <alignment horizontal="center" vertical="center"/>
    </xf>
    <xf numFmtId="0" fontId="38" fillId="10" borderId="2" xfId="0" applyFont="1" applyFill="1" applyBorder="1" applyAlignment="1">
      <alignment horizontal="center" vertical="center"/>
    </xf>
    <xf numFmtId="164" fontId="43" fillId="2" borderId="2" xfId="0" applyNumberFormat="1" applyFont="1" applyFill="1" applyBorder="1" applyAlignment="1">
      <alignment horizontal="center" vertical="center"/>
    </xf>
    <xf numFmtId="166" fontId="43" fillId="2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0" fillId="9" borderId="2" xfId="0" applyFill="1" applyBorder="1"/>
    <xf numFmtId="164" fontId="4" fillId="4" borderId="2" xfId="0" applyNumberFormat="1" applyFont="1" applyFill="1" applyBorder="1" applyAlignment="1">
      <alignment horizontal="right" vertical="center"/>
    </xf>
    <xf numFmtId="164" fontId="32" fillId="6" borderId="2" xfId="0" applyNumberFormat="1" applyFont="1" applyFill="1" applyBorder="1" applyAlignment="1">
      <alignment horizontal="right" vertical="center"/>
    </xf>
    <xf numFmtId="0" fontId="0" fillId="7" borderId="2" xfId="0" applyFill="1" applyBorder="1"/>
    <xf numFmtId="0" fontId="45" fillId="10" borderId="2" xfId="0" applyFont="1" applyFill="1" applyBorder="1" applyAlignment="1">
      <alignment horizontal="center" vertical="center"/>
    </xf>
    <xf numFmtId="0" fontId="38" fillId="10" borderId="2" xfId="0" applyFont="1" applyFill="1" applyBorder="1" applyAlignment="1">
      <alignment horizontal="left" vertical="center" wrapText="1"/>
    </xf>
    <xf numFmtId="0" fontId="46" fillId="10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7" fillId="4" borderId="2" xfId="0" applyFont="1" applyFill="1" applyBorder="1" applyAlignment="1">
      <alignment horizontal="left" vertical="center" wrapText="1"/>
    </xf>
    <xf numFmtId="0" fontId="45" fillId="12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left" vertical="center" wrapText="1"/>
    </xf>
    <xf numFmtId="0" fontId="46" fillId="12" borderId="2" xfId="0" applyFont="1" applyFill="1" applyBorder="1" applyAlignment="1">
      <alignment horizontal="left" vertical="center" wrapText="1"/>
    </xf>
    <xf numFmtId="0" fontId="45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left" vertical="center" wrapText="1"/>
    </xf>
    <xf numFmtId="0" fontId="46" fillId="7" borderId="2" xfId="0" applyFont="1" applyFill="1" applyBorder="1" applyAlignment="1">
      <alignment horizontal="left" vertical="center" wrapText="1"/>
    </xf>
    <xf numFmtId="0" fontId="40" fillId="7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3" fontId="30" fillId="2" borderId="2" xfId="0" applyNumberFormat="1" applyFont="1" applyFill="1" applyBorder="1" applyAlignment="1">
      <alignment horizontal="right" vertical="center"/>
    </xf>
    <xf numFmtId="0" fontId="48" fillId="2" borderId="2" xfId="0" applyFont="1" applyFill="1" applyBorder="1" applyAlignment="1">
      <alignment horizontal="left" vertical="center" wrapText="1"/>
    </xf>
    <xf numFmtId="0" fontId="28" fillId="8" borderId="2" xfId="0" applyFont="1" applyFill="1" applyBorder="1" applyAlignment="1">
      <alignment horizontal="left" vertical="center" wrapText="1"/>
    </xf>
    <xf numFmtId="0" fontId="28" fillId="9" borderId="2" xfId="0" applyFont="1" applyFill="1" applyBorder="1" applyAlignment="1">
      <alignment horizontal="left" vertical="center" wrapText="1"/>
    </xf>
    <xf numFmtId="0" fontId="38" fillId="9" borderId="2" xfId="0" applyFont="1" applyFill="1" applyBorder="1" applyAlignment="1">
      <alignment horizontal="left" vertical="center" wrapText="1"/>
    </xf>
    <xf numFmtId="0" fontId="38" fillId="12" borderId="2" xfId="0" applyFont="1" applyFill="1" applyBorder="1" applyAlignment="1">
      <alignment horizontal="left" vertical="center" wrapText="1"/>
    </xf>
    <xf numFmtId="0" fontId="38" fillId="5" borderId="2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 wrapText="1"/>
    </xf>
    <xf numFmtId="0" fontId="22" fillId="2" borderId="0" xfId="0" applyFont="1" applyFill="1" applyAlignment="1">
      <alignment horizontal="left" vertical="center" inden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24" fillId="12" borderId="1" xfId="0" applyFont="1" applyFill="1" applyBorder="1" applyAlignment="1">
      <alignment horizontal="left" vertical="center" wrapText="1"/>
    </xf>
    <xf numFmtId="0" fontId="26" fillId="15" borderId="1" xfId="0" applyFont="1" applyFill="1" applyBorder="1" applyAlignment="1">
      <alignment horizontal="left" vertical="center" wrapText="1"/>
    </xf>
    <xf numFmtId="0" fontId="3" fillId="16" borderId="0" xfId="0" applyFont="1" applyFill="1" applyAlignment="1">
      <alignment horizontal="left" vertical="center" indent="1"/>
    </xf>
    <xf numFmtId="0" fontId="3" fillId="14" borderId="0" xfId="0" applyFont="1" applyFill="1" applyAlignment="1">
      <alignment horizontal="left" vertical="center" indent="1"/>
    </xf>
    <xf numFmtId="0" fontId="3" fillId="13" borderId="0" xfId="0" applyFont="1" applyFill="1" applyAlignment="1">
      <alignment horizontal="left" vertical="center" indent="1"/>
    </xf>
    <xf numFmtId="0" fontId="3" fillId="17" borderId="0" xfId="0" applyFont="1" applyFill="1" applyAlignment="1">
      <alignment horizontal="left" vertical="center" indent="1"/>
    </xf>
    <xf numFmtId="0" fontId="29" fillId="2" borderId="1" xfId="0" applyFont="1" applyFill="1" applyBorder="1" applyAlignment="1">
      <alignment horizontal="right" vertical="center" indent="1"/>
    </xf>
    <xf numFmtId="0" fontId="26" fillId="12" borderId="1" xfId="0" applyFont="1" applyFill="1" applyBorder="1" applyAlignment="1">
      <alignment horizontal="right" vertical="center" indent="1"/>
    </xf>
    <xf numFmtId="0" fontId="30" fillId="2" borderId="1" xfId="0" applyFont="1" applyFill="1" applyBorder="1" applyAlignment="1">
      <alignment horizontal="right" vertical="center" indent="1"/>
    </xf>
    <xf numFmtId="0" fontId="29" fillId="16" borderId="0" xfId="0" applyFont="1" applyFill="1" applyAlignment="1">
      <alignment horizontal="center" vertical="center"/>
    </xf>
    <xf numFmtId="0" fontId="22" fillId="3" borderId="1" xfId="0" applyFont="1" applyFill="1" applyBorder="1" applyAlignment="1">
      <alignment horizontal="left" vertical="center" wrapText="1"/>
    </xf>
    <xf numFmtId="0" fontId="37" fillId="12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vertical="center" indent="1"/>
    </xf>
    <xf numFmtId="0" fontId="22" fillId="2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left" vertical="center" wrapText="1"/>
    </xf>
    <xf numFmtId="0" fontId="28" fillId="10" borderId="1" xfId="0" applyFont="1" applyFill="1" applyBorder="1" applyAlignment="1">
      <alignment horizontal="left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DCFCE7"/>
        </patternFill>
      </fill>
    </dxf>
    <dxf>
      <fill>
        <patternFill>
          <bgColor rgb="FFFFE4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DE9FE"/>
      <rgbColor rgb="FF808080"/>
      <rgbColor rgb="FF9999FF"/>
      <rgbColor rgb="FF7C3AED"/>
      <rgbColor rgb="FFFFF9C4"/>
      <rgbColor rgb="FFCFF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DBEAFE"/>
      <rgbColor rgb="FFFEF3C7"/>
      <rgbColor rgb="FFEFF6FF"/>
      <rgbColor rgb="FFF1F5F9"/>
      <rgbColor rgb="FFF8FAFC"/>
      <rgbColor rgb="FFFFE4E6"/>
      <rgbColor rgb="FF2563EB"/>
      <rgbColor rgb="FF33CCCC"/>
      <rgbColor rgb="FF99CC00"/>
      <rgbColor rgb="FFFFCC00"/>
      <rgbColor rgb="FFFF9900"/>
      <rgbColor rgb="FFD97706"/>
      <rgbColor rgb="FF64748B"/>
      <rgbColor rgb="FFC9A84C"/>
      <rgbColor rgb="FF003366"/>
      <rgbColor rgb="FF16A34A"/>
      <rgbColor rgb="FF0D1B2A"/>
      <rgbColor rgb="FF475569"/>
      <rgbColor rgb="FF993300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ySplit="4" topLeftCell="A5" activePane="bottomLeft" state="frozen"/>
      <selection pane="bottomLeft" activeCell="F22" sqref="F22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8" width="14" customWidth="1"/>
  </cols>
  <sheetData>
    <row r="1" spans="1:8" ht="37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2">
      <c r="A2" s="13" t="s">
        <v>1</v>
      </c>
      <c r="B2" s="13"/>
      <c r="C2" s="13"/>
      <c r="D2" s="13"/>
      <c r="E2" s="13"/>
      <c r="F2" s="13"/>
      <c r="G2" s="13"/>
      <c r="H2" s="13"/>
    </row>
    <row r="3" spans="1:8" ht="7.5" customHeight="1" x14ac:dyDescent="0.2"/>
    <row r="4" spans="1:8" ht="25.5" customHeight="1" x14ac:dyDescent="0.2">
      <c r="B4" s="12" t="s">
        <v>2</v>
      </c>
      <c r="C4" s="12"/>
      <c r="D4" s="12"/>
      <c r="E4" s="12"/>
      <c r="F4" s="15">
        <v>0</v>
      </c>
      <c r="G4" s="16"/>
      <c r="H4" s="16"/>
    </row>
    <row r="5" spans="1:8" ht="7.5" customHeight="1" x14ac:dyDescent="0.2"/>
    <row r="6" spans="1:8" ht="25.5" customHeight="1" x14ac:dyDescent="0.2"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1" t="s">
        <v>8</v>
      </c>
      <c r="H6" s="11"/>
    </row>
    <row r="7" spans="1:8" ht="27.75" customHeight="1" x14ac:dyDescent="0.2">
      <c r="B7" s="18" t="s">
        <v>9</v>
      </c>
      <c r="C7" s="19">
        <v>0.6</v>
      </c>
      <c r="D7" s="20">
        <f>IFERROR($F$4*0.6,0)</f>
        <v>0</v>
      </c>
      <c r="E7" s="21">
        <f>IFERROR($F$4*0.58,0)</f>
        <v>0</v>
      </c>
      <c r="F7" s="21">
        <f>IFERROR($F$4*0.62,0)</f>
        <v>0</v>
      </c>
      <c r="G7" s="10" t="s">
        <v>10</v>
      </c>
      <c r="H7" s="10"/>
    </row>
    <row r="8" spans="1:8" ht="27.75" customHeight="1" x14ac:dyDescent="0.2">
      <c r="B8" s="22" t="s">
        <v>11</v>
      </c>
      <c r="C8" s="23">
        <v>0.2</v>
      </c>
      <c r="D8" s="20">
        <f>IFERROR($F$4*0.2,0)</f>
        <v>0</v>
      </c>
      <c r="E8" s="21">
        <f>IFERROR($F$4*0.18,0)</f>
        <v>0</v>
      </c>
      <c r="F8" s="21">
        <f>IFERROR($F$4*0.22,0)</f>
        <v>0</v>
      </c>
      <c r="G8" s="9" t="s">
        <v>12</v>
      </c>
      <c r="H8" s="9"/>
    </row>
    <row r="9" spans="1:8" ht="27.75" customHeight="1" x14ac:dyDescent="0.2">
      <c r="B9" s="24" t="s">
        <v>13</v>
      </c>
      <c r="C9" s="25">
        <v>0.1</v>
      </c>
      <c r="D9" s="20">
        <f>IFERROR($F$4*0.1,0)</f>
        <v>0</v>
      </c>
      <c r="E9" s="21">
        <f>IFERROR($F$4*0.08,0)</f>
        <v>0</v>
      </c>
      <c r="F9" s="21">
        <f>IFERROR($F$4*0.12,0)</f>
        <v>0</v>
      </c>
      <c r="G9" s="8" t="s">
        <v>14</v>
      </c>
      <c r="H9" s="8"/>
    </row>
    <row r="10" spans="1:8" ht="27.75" customHeight="1" x14ac:dyDescent="0.2">
      <c r="B10" s="26" t="s">
        <v>15</v>
      </c>
      <c r="C10" s="27">
        <v>0.1</v>
      </c>
      <c r="D10" s="20">
        <f>IFERROR($F$4*0.1,0)</f>
        <v>0</v>
      </c>
      <c r="E10" s="21">
        <f>IFERROR($F$4*0.08,0)</f>
        <v>0</v>
      </c>
      <c r="F10" s="21">
        <f>IFERROR($F$4*0.12,0)</f>
        <v>0</v>
      </c>
      <c r="G10" s="7" t="s">
        <v>16</v>
      </c>
      <c r="H10" s="7"/>
    </row>
    <row r="11" spans="1:8" ht="21.75" customHeight="1" x14ac:dyDescent="0.2">
      <c r="B11" s="28" t="s">
        <v>17</v>
      </c>
      <c r="C11" s="29">
        <f>IFERROR(SUM(C7:C10),0)</f>
        <v>1</v>
      </c>
      <c r="D11" s="30">
        <f>IFERROR(SUM(D7:D10),0)</f>
        <v>0</v>
      </c>
      <c r="E11" s="31"/>
      <c r="F11" s="31"/>
      <c r="G11" s="31"/>
      <c r="H11" s="31"/>
    </row>
    <row r="12" spans="1:8" ht="9.75" customHeight="1" x14ac:dyDescent="0.2"/>
    <row r="13" spans="1:8" ht="21.75" customHeight="1" x14ac:dyDescent="0.2">
      <c r="B13" s="6" t="s">
        <v>18</v>
      </c>
      <c r="C13" s="6"/>
      <c r="D13" s="6"/>
      <c r="E13" s="6"/>
      <c r="F13" s="6"/>
      <c r="G13" s="6"/>
      <c r="H13" s="6"/>
    </row>
    <row r="14" spans="1:8" ht="24" customHeight="1" x14ac:dyDescent="0.2">
      <c r="B14" s="11" t="s">
        <v>19</v>
      </c>
      <c r="C14" s="11"/>
      <c r="D14" s="11"/>
      <c r="E14" s="17" t="s">
        <v>20</v>
      </c>
      <c r="F14" s="17" t="s">
        <v>21</v>
      </c>
      <c r="G14" s="11" t="s">
        <v>22</v>
      </c>
      <c r="H14" s="11"/>
    </row>
    <row r="15" spans="1:8" ht="21.75" customHeight="1" x14ac:dyDescent="0.2">
      <c r="B15" s="5" t="s">
        <v>23</v>
      </c>
      <c r="C15" s="5"/>
      <c r="D15" s="5"/>
      <c r="E15" s="32">
        <v>0.15</v>
      </c>
      <c r="F15" s="33">
        <f>IFERROR($F$4*0.15,0)</f>
        <v>0</v>
      </c>
      <c r="G15" s="4" t="s">
        <v>24</v>
      </c>
      <c r="H15" s="4"/>
    </row>
    <row r="16" spans="1:8" ht="21.75" customHeight="1" x14ac:dyDescent="0.2">
      <c r="B16" s="3" t="s">
        <v>25</v>
      </c>
      <c r="C16" s="3"/>
      <c r="D16" s="3"/>
      <c r="E16" s="34">
        <v>0.22500000000000001</v>
      </c>
      <c r="F16" s="33">
        <f>IFERROR($F$4*0.225,0)</f>
        <v>0</v>
      </c>
      <c r="G16" s="2" t="s">
        <v>26</v>
      </c>
      <c r="H16" s="2"/>
    </row>
    <row r="17" spans="2:8" ht="21.75" customHeight="1" x14ac:dyDescent="0.2">
      <c r="B17" s="1" t="s">
        <v>27</v>
      </c>
      <c r="C17" s="1"/>
      <c r="D17" s="1"/>
      <c r="E17" s="35">
        <v>0.35</v>
      </c>
      <c r="F17" s="33">
        <f>IFERROR($F$4*0.35,0)</f>
        <v>0</v>
      </c>
      <c r="G17" s="122" t="s">
        <v>28</v>
      </c>
      <c r="H17" s="122"/>
    </row>
    <row r="18" spans="2:8" ht="9.75" customHeight="1" x14ac:dyDescent="0.2"/>
    <row r="19" spans="2:8" ht="21.75" customHeight="1" x14ac:dyDescent="0.2">
      <c r="B19" s="123" t="s">
        <v>29</v>
      </c>
      <c r="C19" s="123"/>
      <c r="D19" s="123"/>
      <c r="E19" s="123"/>
      <c r="F19" s="123"/>
      <c r="G19" s="123"/>
      <c r="H19" s="123"/>
    </row>
    <row r="20" spans="2:8" ht="25.5" customHeight="1" x14ac:dyDescent="0.2">
      <c r="B20" s="124" t="s">
        <v>30</v>
      </c>
      <c r="C20" s="124"/>
      <c r="D20" s="125" t="s">
        <v>31</v>
      </c>
      <c r="E20" s="125"/>
      <c r="F20" s="11" t="s">
        <v>32</v>
      </c>
      <c r="G20" s="11"/>
      <c r="H20" s="11"/>
    </row>
    <row r="21" spans="2:8" ht="25.5" customHeight="1" x14ac:dyDescent="0.2">
      <c r="B21" s="126" t="s">
        <v>301</v>
      </c>
      <c r="C21" s="126"/>
      <c r="D21" s="127" t="s">
        <v>302</v>
      </c>
      <c r="E21" s="127"/>
      <c r="G21" s="36">
        <v>0</v>
      </c>
      <c r="H21" s="37" t="s">
        <v>33</v>
      </c>
    </row>
    <row r="22" spans="2:8" ht="21.75" customHeight="1" x14ac:dyDescent="0.2">
      <c r="B22" s="128" t="s">
        <v>303</v>
      </c>
      <c r="C22" s="128"/>
      <c r="D22" s="128"/>
      <c r="E22" s="128"/>
      <c r="F22" s="38">
        <f>IFERROR($G$21*550,0)</f>
        <v>0</v>
      </c>
      <c r="G22" s="39" t="s">
        <v>34</v>
      </c>
      <c r="H22" s="40">
        <f>IFERROR($G$21*950,0)</f>
        <v>0</v>
      </c>
    </row>
  </sheetData>
  <mergeCells count="24">
    <mergeCell ref="B22:E22"/>
    <mergeCell ref="B19:H19"/>
    <mergeCell ref="B20:C20"/>
    <mergeCell ref="D20:E20"/>
    <mergeCell ref="F20:H20"/>
    <mergeCell ref="B21:C21"/>
    <mergeCell ref="D21:E21"/>
    <mergeCell ref="B15:D15"/>
    <mergeCell ref="G15:H15"/>
    <mergeCell ref="B16:D16"/>
    <mergeCell ref="G16:H16"/>
    <mergeCell ref="B17:D17"/>
    <mergeCell ref="G17:H17"/>
    <mergeCell ref="G8:H8"/>
    <mergeCell ref="G9:H9"/>
    <mergeCell ref="G10:H10"/>
    <mergeCell ref="B13:H13"/>
    <mergeCell ref="B14:D14"/>
    <mergeCell ref="G14:H14"/>
    <mergeCell ref="A1:H1"/>
    <mergeCell ref="A2:H2"/>
    <mergeCell ref="B4:E4"/>
    <mergeCell ref="G6:H6"/>
    <mergeCell ref="G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4" sqref="J4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10" customWidth="1"/>
    <col min="4" max="4" width="9" customWidth="1"/>
    <col min="5" max="7" width="11" customWidth="1"/>
    <col min="8" max="9" width="12" customWidth="1"/>
    <col min="10" max="10" width="14" customWidth="1"/>
    <col min="11" max="11" width="12" customWidth="1"/>
  </cols>
  <sheetData>
    <row r="1" spans="1:11" ht="37.5" customHeight="1" x14ac:dyDescent="0.2">
      <c r="A1" s="14" t="s">
        <v>35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8" customHeight="1" x14ac:dyDescent="0.2">
      <c r="A2" s="13" t="s">
        <v>36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ht="7.5" customHeight="1" x14ac:dyDescent="0.2"/>
    <row r="4" spans="1:11" ht="31.5" customHeight="1" x14ac:dyDescent="0.2">
      <c r="A4" s="41" t="s">
        <v>37</v>
      </c>
      <c r="B4" s="41" t="s">
        <v>38</v>
      </c>
      <c r="C4" s="41" t="s">
        <v>39</v>
      </c>
      <c r="D4" s="41" t="s">
        <v>40</v>
      </c>
      <c r="E4" s="41" t="s">
        <v>304</v>
      </c>
      <c r="F4" s="41" t="s">
        <v>305</v>
      </c>
      <c r="G4" s="41" t="s">
        <v>306</v>
      </c>
      <c r="H4" s="41" t="s">
        <v>307</v>
      </c>
      <c r="I4" s="41" t="s">
        <v>308</v>
      </c>
      <c r="J4" s="41" t="s">
        <v>41</v>
      </c>
      <c r="K4" s="41" t="s">
        <v>42</v>
      </c>
    </row>
    <row r="5" spans="1:11" ht="19.5" customHeight="1" x14ac:dyDescent="0.2">
      <c r="A5" s="129" t="s">
        <v>43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</row>
    <row r="6" spans="1:11" ht="18" customHeight="1" x14ac:dyDescent="0.2">
      <c r="A6" s="42">
        <v>1</v>
      </c>
      <c r="B6" s="43" t="s">
        <v>44</v>
      </c>
      <c r="C6" s="44" t="s">
        <v>45</v>
      </c>
      <c r="D6" s="36">
        <v>1</v>
      </c>
      <c r="E6" s="15"/>
      <c r="F6" s="33">
        <f>IFERROR(D6*E6,0)</f>
        <v>0</v>
      </c>
      <c r="G6" s="15"/>
      <c r="H6" s="15"/>
      <c r="I6" s="45" t="str">
        <f>IF(H6="","",H6-(F6+G6))</f>
        <v/>
      </c>
      <c r="J6" s="46" t="s">
        <v>46</v>
      </c>
      <c r="K6" s="47"/>
    </row>
    <row r="7" spans="1:11" ht="18" customHeight="1" x14ac:dyDescent="0.2">
      <c r="A7" s="42">
        <v>2</v>
      </c>
      <c r="B7" s="43" t="s">
        <v>47</v>
      </c>
      <c r="C7" s="44" t="s">
        <v>45</v>
      </c>
      <c r="D7" s="36">
        <v>1</v>
      </c>
      <c r="E7" s="15"/>
      <c r="F7" s="33">
        <f>IFERROR(D7*E7,0)</f>
        <v>0</v>
      </c>
      <c r="G7" s="15"/>
      <c r="H7" s="15"/>
      <c r="I7" s="45" t="str">
        <f>IF(H7="","",H7-(F7+G7))</f>
        <v/>
      </c>
      <c r="J7" s="46" t="s">
        <v>46</v>
      </c>
      <c r="K7" s="47"/>
    </row>
    <row r="8" spans="1:11" ht="19.5" customHeight="1" x14ac:dyDescent="0.2">
      <c r="A8" s="130" t="s">
        <v>48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</row>
    <row r="9" spans="1:11" ht="18" customHeight="1" x14ac:dyDescent="0.2">
      <c r="A9" s="48">
        <v>3</v>
      </c>
      <c r="B9" s="49" t="s">
        <v>49</v>
      </c>
      <c r="C9" s="44" t="s">
        <v>33</v>
      </c>
      <c r="D9" s="36"/>
      <c r="E9" s="15">
        <v>12</v>
      </c>
      <c r="F9" s="33">
        <f>IFERROR(D9*E9,0)</f>
        <v>0</v>
      </c>
      <c r="G9" s="15"/>
      <c r="H9" s="15"/>
      <c r="I9" s="45" t="str">
        <f>IF(H9="","",H9-(F9+G9))</f>
        <v/>
      </c>
      <c r="J9" s="46" t="s">
        <v>46</v>
      </c>
      <c r="K9" s="47"/>
    </row>
    <row r="10" spans="1:11" ht="18" customHeight="1" x14ac:dyDescent="0.2">
      <c r="A10" s="48">
        <v>4</v>
      </c>
      <c r="B10" s="49" t="s">
        <v>50</v>
      </c>
      <c r="C10" s="44" t="s">
        <v>33</v>
      </c>
      <c r="D10" s="36"/>
      <c r="E10" s="15">
        <v>18</v>
      </c>
      <c r="F10" s="33">
        <f>IFERROR(D10*E10,0)</f>
        <v>0</v>
      </c>
      <c r="G10" s="15">
        <v>15</v>
      </c>
      <c r="H10" s="15"/>
      <c r="I10" s="45" t="str">
        <f>IF(H10="","",H10-(F10+G10))</f>
        <v/>
      </c>
      <c r="J10" s="46" t="s">
        <v>46</v>
      </c>
      <c r="K10" s="47"/>
    </row>
    <row r="11" spans="1:11" ht="18" customHeight="1" x14ac:dyDescent="0.2">
      <c r="A11" s="48">
        <v>5</v>
      </c>
      <c r="B11" s="49" t="s">
        <v>51</v>
      </c>
      <c r="C11" s="44" t="s">
        <v>33</v>
      </c>
      <c r="D11" s="36"/>
      <c r="E11" s="15"/>
      <c r="F11" s="33">
        <f>IFERROR(D11*E11,0)</f>
        <v>0</v>
      </c>
      <c r="G11" s="15">
        <v>14</v>
      </c>
      <c r="H11" s="15"/>
      <c r="I11" s="45" t="str">
        <f>IF(H11="","",H11-(F11+G11))</f>
        <v/>
      </c>
      <c r="J11" s="46" t="s">
        <v>46</v>
      </c>
      <c r="K11" s="47"/>
    </row>
    <row r="12" spans="1:11" ht="18" customHeight="1" x14ac:dyDescent="0.2">
      <c r="A12" s="48">
        <v>6</v>
      </c>
      <c r="B12" s="49" t="s">
        <v>52</v>
      </c>
      <c r="C12" s="44" t="s">
        <v>33</v>
      </c>
      <c r="D12" s="36"/>
      <c r="E12" s="15">
        <v>28</v>
      </c>
      <c r="F12" s="33">
        <f>IFERROR(D12*E12,0)</f>
        <v>0</v>
      </c>
      <c r="G12" s="15">
        <v>18</v>
      </c>
      <c r="H12" s="15"/>
      <c r="I12" s="45" t="str">
        <f>IF(H12="","",H12-(F12+G12))</f>
        <v/>
      </c>
      <c r="J12" s="46" t="s">
        <v>46</v>
      </c>
      <c r="K12" s="47"/>
    </row>
    <row r="13" spans="1:11" ht="18" customHeight="1" x14ac:dyDescent="0.2">
      <c r="A13" s="48">
        <v>7</v>
      </c>
      <c r="B13" s="49" t="s">
        <v>53</v>
      </c>
      <c r="C13" s="44" t="s">
        <v>33</v>
      </c>
      <c r="D13" s="36"/>
      <c r="E13" s="15"/>
      <c r="F13" s="33">
        <f>IFERROR(D13*E13,0)</f>
        <v>0</v>
      </c>
      <c r="G13" s="15">
        <v>35</v>
      </c>
      <c r="H13" s="15"/>
      <c r="I13" s="45" t="str">
        <f>IF(H13="","",H13-(F13+G13))</f>
        <v/>
      </c>
      <c r="J13" s="46" t="s">
        <v>46</v>
      </c>
      <c r="K13" s="47"/>
    </row>
    <row r="14" spans="1:11" ht="19.5" customHeight="1" x14ac:dyDescent="0.2">
      <c r="A14" s="130" t="s">
        <v>54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</row>
    <row r="15" spans="1:11" ht="18" customHeight="1" x14ac:dyDescent="0.2">
      <c r="A15" s="48">
        <v>8</v>
      </c>
      <c r="B15" s="49" t="s">
        <v>55</v>
      </c>
      <c r="C15" s="44" t="s">
        <v>33</v>
      </c>
      <c r="D15" s="36"/>
      <c r="E15" s="15">
        <v>4</v>
      </c>
      <c r="F15" s="33">
        <f>IFERROR(D15*E15,0)</f>
        <v>0</v>
      </c>
      <c r="G15" s="15">
        <v>12</v>
      </c>
      <c r="H15" s="15"/>
      <c r="I15" s="45" t="str">
        <f>IF(H15="","",H15-(F15+G15))</f>
        <v/>
      </c>
      <c r="J15" s="46" t="s">
        <v>46</v>
      </c>
      <c r="K15" s="47"/>
    </row>
    <row r="16" spans="1:11" ht="18" customHeight="1" x14ac:dyDescent="0.2">
      <c r="A16" s="48">
        <v>9</v>
      </c>
      <c r="B16" s="49" t="s">
        <v>56</v>
      </c>
      <c r="C16" s="44" t="s">
        <v>33</v>
      </c>
      <c r="D16" s="36"/>
      <c r="E16" s="15">
        <v>5</v>
      </c>
      <c r="F16" s="33">
        <f>IFERROR(D16*E16,0)</f>
        <v>0</v>
      </c>
      <c r="G16" s="15">
        <v>10</v>
      </c>
      <c r="H16" s="15"/>
      <c r="I16" s="45" t="str">
        <f>IF(H16="","",H16-(F16+G16))</f>
        <v/>
      </c>
      <c r="J16" s="46" t="s">
        <v>46</v>
      </c>
      <c r="K16" s="47"/>
    </row>
    <row r="17" spans="1:11" ht="19.5" customHeight="1" x14ac:dyDescent="0.2">
      <c r="A17" s="130" t="s">
        <v>57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</row>
    <row r="18" spans="1:11" ht="18" customHeight="1" x14ac:dyDescent="0.2">
      <c r="A18" s="48">
        <v>10</v>
      </c>
      <c r="B18" s="49" t="s">
        <v>58</v>
      </c>
      <c r="C18" s="44" t="s">
        <v>33</v>
      </c>
      <c r="D18" s="36"/>
      <c r="E18" s="15">
        <v>35</v>
      </c>
      <c r="F18" s="33">
        <f>IFERROR(D18*E18,0)</f>
        <v>0</v>
      </c>
      <c r="G18" s="15">
        <v>18</v>
      </c>
      <c r="H18" s="15"/>
      <c r="I18" s="45" t="str">
        <f>IF(H18="","",H18-(F18+G18))</f>
        <v/>
      </c>
      <c r="J18" s="46" t="s">
        <v>46</v>
      </c>
      <c r="K18" s="47"/>
    </row>
    <row r="19" spans="1:11" ht="18" customHeight="1" x14ac:dyDescent="0.2">
      <c r="A19" s="48">
        <v>11</v>
      </c>
      <c r="B19" s="49" t="s">
        <v>59</v>
      </c>
      <c r="C19" s="44" t="s">
        <v>33</v>
      </c>
      <c r="D19" s="36"/>
      <c r="E19" s="15">
        <v>55</v>
      </c>
      <c r="F19" s="33">
        <f>IFERROR(D19*E19,0)</f>
        <v>0</v>
      </c>
      <c r="G19" s="15">
        <v>35</v>
      </c>
      <c r="H19" s="15"/>
      <c r="I19" s="45" t="str">
        <f>IF(H19="","",H19-(F19+G19))</f>
        <v/>
      </c>
      <c r="J19" s="46" t="s">
        <v>46</v>
      </c>
      <c r="K19" s="47"/>
    </row>
    <row r="20" spans="1:11" ht="18" customHeight="1" x14ac:dyDescent="0.2">
      <c r="A20" s="48">
        <v>12</v>
      </c>
      <c r="B20" s="49" t="s">
        <v>60</v>
      </c>
      <c r="C20" s="44" t="s">
        <v>33</v>
      </c>
      <c r="D20" s="36"/>
      <c r="E20" s="15">
        <v>45</v>
      </c>
      <c r="F20" s="33">
        <f>IFERROR(D20*E20,0)</f>
        <v>0</v>
      </c>
      <c r="G20" s="15">
        <v>30</v>
      </c>
      <c r="H20" s="15"/>
      <c r="I20" s="45" t="str">
        <f>IF(H20="","",H20-(F20+G20))</f>
        <v/>
      </c>
      <c r="J20" s="46" t="s">
        <v>46</v>
      </c>
      <c r="K20" s="47"/>
    </row>
    <row r="21" spans="1:11" ht="19.5" customHeight="1" x14ac:dyDescent="0.2">
      <c r="A21" s="130" t="s">
        <v>61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</row>
    <row r="22" spans="1:11" ht="18" customHeight="1" x14ac:dyDescent="0.2">
      <c r="A22" s="48">
        <v>13</v>
      </c>
      <c r="B22" s="49" t="s">
        <v>62</v>
      </c>
      <c r="C22" s="44" t="s">
        <v>63</v>
      </c>
      <c r="D22" s="36"/>
      <c r="E22" s="15"/>
      <c r="F22" s="33">
        <f>IFERROR(D22*E22,0)</f>
        <v>0</v>
      </c>
      <c r="G22" s="15"/>
      <c r="H22" s="15"/>
      <c r="I22" s="45" t="str">
        <f>IF(H22="","",H22-(F22+G22))</f>
        <v/>
      </c>
      <c r="J22" s="46" t="s">
        <v>46</v>
      </c>
      <c r="K22" s="47"/>
    </row>
    <row r="23" spans="1:11" ht="18" customHeight="1" x14ac:dyDescent="0.2">
      <c r="A23" s="48">
        <v>14</v>
      </c>
      <c r="B23" s="49" t="s">
        <v>64</v>
      </c>
      <c r="C23" s="44" t="s">
        <v>63</v>
      </c>
      <c r="D23" s="36"/>
      <c r="E23" s="15"/>
      <c r="F23" s="33">
        <f>IFERROR(D23*E23,0)</f>
        <v>0</v>
      </c>
      <c r="G23" s="15"/>
      <c r="H23" s="15"/>
      <c r="I23" s="45" t="str">
        <f>IF(H23="","",H23-(F23+G23))</f>
        <v/>
      </c>
      <c r="J23" s="46" t="s">
        <v>46</v>
      </c>
      <c r="K23" s="47"/>
    </row>
    <row r="24" spans="1:11" ht="18" customHeight="1" x14ac:dyDescent="0.2">
      <c r="A24" s="48">
        <v>15</v>
      </c>
      <c r="B24" s="49" t="s">
        <v>65</v>
      </c>
      <c r="C24" s="44" t="s">
        <v>63</v>
      </c>
      <c r="D24" s="36"/>
      <c r="E24" s="15"/>
      <c r="F24" s="33">
        <f>IFERROR(D24*E24,0)</f>
        <v>0</v>
      </c>
      <c r="G24" s="15"/>
      <c r="H24" s="15"/>
      <c r="I24" s="45" t="str">
        <f>IF(H24="","",H24-(F24+G24))</f>
        <v/>
      </c>
      <c r="J24" s="46" t="s">
        <v>46</v>
      </c>
      <c r="K24" s="47"/>
    </row>
    <row r="25" spans="1:11" ht="19.5" customHeight="1" x14ac:dyDescent="0.2">
      <c r="A25" s="130" t="s">
        <v>66</v>
      </c>
      <c r="B25" s="130"/>
      <c r="C25" s="130"/>
      <c r="D25" s="130"/>
      <c r="E25" s="130"/>
      <c r="F25" s="130"/>
      <c r="G25" s="130"/>
      <c r="H25" s="130"/>
      <c r="I25" s="130"/>
      <c r="J25" s="130"/>
      <c r="K25" s="130"/>
    </row>
    <row r="26" spans="1:11" ht="18" customHeight="1" x14ac:dyDescent="0.2">
      <c r="A26" s="48">
        <v>16</v>
      </c>
      <c r="B26" s="49" t="s">
        <v>67</v>
      </c>
      <c r="C26" s="44" t="s">
        <v>45</v>
      </c>
      <c r="D26" s="36">
        <v>1</v>
      </c>
      <c r="E26" s="15"/>
      <c r="F26" s="33">
        <f>IFERROR(D26*E26,0)</f>
        <v>0</v>
      </c>
      <c r="G26" s="15"/>
      <c r="H26" s="15"/>
      <c r="I26" s="45" t="str">
        <f>IF(H26="","",H26-(F26+G26))</f>
        <v/>
      </c>
      <c r="J26" s="46" t="s">
        <v>46</v>
      </c>
      <c r="K26" s="47"/>
    </row>
    <row r="27" spans="1:11" ht="18" customHeight="1" x14ac:dyDescent="0.2">
      <c r="A27" s="48">
        <v>17</v>
      </c>
      <c r="B27" s="49" t="s">
        <v>68</v>
      </c>
      <c r="C27" s="44" t="s">
        <v>45</v>
      </c>
      <c r="D27" s="36">
        <v>1</v>
      </c>
      <c r="E27" s="15"/>
      <c r="F27" s="33">
        <f>IFERROR(D27*E27,0)</f>
        <v>0</v>
      </c>
      <c r="G27" s="15"/>
      <c r="H27" s="15"/>
      <c r="I27" s="45" t="str">
        <f>IF(H27="","",H27-(F27+G27))</f>
        <v/>
      </c>
      <c r="J27" s="46" t="s">
        <v>46</v>
      </c>
      <c r="K27" s="47"/>
    </row>
    <row r="28" spans="1:11" ht="19.5" customHeight="1" x14ac:dyDescent="0.2">
      <c r="A28" s="130" t="s">
        <v>69</v>
      </c>
      <c r="B28" s="130"/>
      <c r="C28" s="130"/>
      <c r="D28" s="130"/>
      <c r="E28" s="130"/>
      <c r="F28" s="130"/>
      <c r="G28" s="130"/>
      <c r="H28" s="130"/>
      <c r="I28" s="130"/>
      <c r="J28" s="130"/>
      <c r="K28" s="130"/>
    </row>
    <row r="29" spans="1:11" ht="18" customHeight="1" x14ac:dyDescent="0.2">
      <c r="A29" s="48">
        <v>18</v>
      </c>
      <c r="B29" s="49" t="s">
        <v>70</v>
      </c>
      <c r="C29" s="44" t="s">
        <v>63</v>
      </c>
      <c r="D29" s="36"/>
      <c r="E29" s="15">
        <v>380</v>
      </c>
      <c r="F29" s="33">
        <f>IFERROR(D29*E29,0)</f>
        <v>0</v>
      </c>
      <c r="G29" s="15">
        <v>150</v>
      </c>
      <c r="H29" s="15"/>
      <c r="I29" s="45" t="str">
        <f>IF(H29="","",H29-(F29+G29))</f>
        <v/>
      </c>
      <c r="J29" s="46" t="s">
        <v>46</v>
      </c>
      <c r="K29" s="47"/>
    </row>
    <row r="30" spans="1:11" ht="18" customHeight="1" x14ac:dyDescent="0.2">
      <c r="A30" s="48">
        <v>19</v>
      </c>
      <c r="B30" s="49" t="s">
        <v>71</v>
      </c>
      <c r="C30" s="44" t="s">
        <v>63</v>
      </c>
      <c r="D30" s="36">
        <v>1</v>
      </c>
      <c r="E30" s="15">
        <v>900</v>
      </c>
      <c r="F30" s="33">
        <f>IFERROR(D30*E30,0)</f>
        <v>900</v>
      </c>
      <c r="G30" s="15">
        <v>350</v>
      </c>
      <c r="H30" s="15"/>
      <c r="I30" s="45" t="str">
        <f>IF(H30="","",H30-(F30+G30))</f>
        <v/>
      </c>
      <c r="J30" s="46" t="s">
        <v>46</v>
      </c>
      <c r="K30" s="47"/>
    </row>
    <row r="31" spans="1:11" ht="18" customHeight="1" x14ac:dyDescent="0.2">
      <c r="A31" s="48">
        <v>20</v>
      </c>
      <c r="B31" s="49" t="s">
        <v>72</v>
      </c>
      <c r="C31" s="44" t="s">
        <v>63</v>
      </c>
      <c r="D31" s="36"/>
      <c r="E31" s="15">
        <v>220</v>
      </c>
      <c r="F31" s="33">
        <f>IFERROR(D31*E31,0)</f>
        <v>0</v>
      </c>
      <c r="G31" s="15">
        <v>120</v>
      </c>
      <c r="H31" s="15"/>
      <c r="I31" s="45" t="str">
        <f>IF(H31="","",H31-(F31+G31))</f>
        <v/>
      </c>
      <c r="J31" s="46" t="s">
        <v>46</v>
      </c>
      <c r="K31" s="47"/>
    </row>
    <row r="32" spans="1:11" ht="19.5" customHeight="1" x14ac:dyDescent="0.2">
      <c r="A32" s="131" t="s">
        <v>73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</row>
    <row r="33" spans="1:11" ht="18" customHeight="1" x14ac:dyDescent="0.2">
      <c r="A33" s="50">
        <v>21</v>
      </c>
      <c r="B33" s="51" t="s">
        <v>74</v>
      </c>
      <c r="C33" s="44" t="s">
        <v>45</v>
      </c>
      <c r="D33" s="36">
        <v>1</v>
      </c>
      <c r="E33" s="15"/>
      <c r="F33" s="33">
        <f>IFERROR(D33*E33,0)</f>
        <v>0</v>
      </c>
      <c r="G33" s="15"/>
      <c r="H33" s="15"/>
      <c r="I33" s="45" t="str">
        <f>IF(H33="","",H33-(F33+G33))</f>
        <v/>
      </c>
      <c r="J33" s="46" t="s">
        <v>46</v>
      </c>
      <c r="K33" s="47"/>
    </row>
    <row r="34" spans="1:11" ht="18" customHeight="1" x14ac:dyDescent="0.2">
      <c r="A34" s="50">
        <v>22</v>
      </c>
      <c r="B34" s="51" t="s">
        <v>75</v>
      </c>
      <c r="C34" s="44" t="s">
        <v>45</v>
      </c>
      <c r="D34" s="36">
        <v>1</v>
      </c>
      <c r="E34" s="15"/>
      <c r="F34" s="33">
        <f>IFERROR(D34*E34,0)</f>
        <v>0</v>
      </c>
      <c r="G34" s="15"/>
      <c r="H34" s="15"/>
      <c r="I34" s="45" t="str">
        <f>IF(H34="","",H34-(F34+G34))</f>
        <v/>
      </c>
      <c r="J34" s="46" t="s">
        <v>46</v>
      </c>
      <c r="K34" s="47"/>
    </row>
    <row r="35" spans="1:11" ht="19.5" customHeight="1" x14ac:dyDescent="0.2">
      <c r="A35" s="132" t="s">
        <v>76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</row>
    <row r="36" spans="1:11" ht="18" customHeight="1" x14ac:dyDescent="0.2">
      <c r="A36" s="52">
        <v>23</v>
      </c>
      <c r="B36" s="53" t="s">
        <v>77</v>
      </c>
      <c r="C36" s="44" t="s">
        <v>45</v>
      </c>
      <c r="D36" s="36">
        <v>1</v>
      </c>
      <c r="E36" s="15"/>
      <c r="F36" s="33">
        <f>IFERROR(D36*E36,0)</f>
        <v>0</v>
      </c>
      <c r="G36" s="15">
        <v>600</v>
      </c>
      <c r="H36" s="15"/>
      <c r="I36" s="45" t="str">
        <f>IF(H36="","",H36-(F36+G36))</f>
        <v/>
      </c>
      <c r="J36" s="46" t="s">
        <v>46</v>
      </c>
      <c r="K36" s="47"/>
    </row>
    <row r="37" spans="1:11" ht="18" customHeight="1" x14ac:dyDescent="0.2">
      <c r="A37" s="52">
        <v>24</v>
      </c>
      <c r="B37" s="53" t="s">
        <v>78</v>
      </c>
      <c r="C37" s="44" t="s">
        <v>45</v>
      </c>
      <c r="D37" s="36">
        <v>1</v>
      </c>
      <c r="E37" s="15"/>
      <c r="F37" s="33">
        <f>IFERROR(D37*E37,0)</f>
        <v>0</v>
      </c>
      <c r="G37" s="15">
        <v>300</v>
      </c>
      <c r="H37" s="15"/>
      <c r="I37" s="45" t="str">
        <f>IF(H37="","",H37-(F37+G37))</f>
        <v/>
      </c>
      <c r="J37" s="46" t="s">
        <v>46</v>
      </c>
      <c r="K37" s="47"/>
    </row>
    <row r="38" spans="1:11" ht="18" customHeight="1" x14ac:dyDescent="0.2">
      <c r="A38" s="52">
        <v>25</v>
      </c>
      <c r="B38" s="53" t="s">
        <v>79</v>
      </c>
      <c r="C38" s="44" t="s">
        <v>45</v>
      </c>
      <c r="D38" s="36">
        <v>1</v>
      </c>
      <c r="E38" s="15"/>
      <c r="F38" s="33">
        <f>IFERROR(D38*E38,0)</f>
        <v>0</v>
      </c>
      <c r="G38" s="15"/>
      <c r="H38" s="15"/>
      <c r="I38" s="45" t="str">
        <f>IF(H38="","",H38-(F38+G38))</f>
        <v/>
      </c>
      <c r="J38" s="46" t="s">
        <v>46</v>
      </c>
      <c r="K38" s="47"/>
    </row>
    <row r="39" spans="1:11" ht="18" customHeight="1" x14ac:dyDescent="0.2">
      <c r="A39" s="52">
        <v>26</v>
      </c>
      <c r="B39" s="53" t="s">
        <v>80</v>
      </c>
      <c r="C39" s="44" t="s">
        <v>81</v>
      </c>
      <c r="D39" s="36"/>
      <c r="E39" s="15"/>
      <c r="F39" s="33">
        <f>IFERROR(D39*E39,0)</f>
        <v>0</v>
      </c>
      <c r="G39" s="15"/>
      <c r="H39" s="15"/>
      <c r="I39" s="45" t="str">
        <f>IF(H39="","",H39-(F39+G39))</f>
        <v/>
      </c>
      <c r="J39" s="46" t="s">
        <v>46</v>
      </c>
      <c r="K39" s="47"/>
    </row>
    <row r="40" spans="1:11" ht="6" customHeight="1" x14ac:dyDescent="0.2"/>
    <row r="41" spans="1:11" ht="24" customHeight="1" x14ac:dyDescent="0.2">
      <c r="A41" s="133" t="s">
        <v>82</v>
      </c>
      <c r="B41" s="133"/>
      <c r="C41" s="133"/>
      <c r="D41" s="133"/>
      <c r="E41" s="133"/>
      <c r="F41" s="54">
        <f>SUM(F6:F39)</f>
        <v>900</v>
      </c>
      <c r="G41" s="54">
        <f>SUM(G6:G39)</f>
        <v>1707</v>
      </c>
      <c r="H41" s="54">
        <f>SUM(H6:H39)</f>
        <v>0</v>
      </c>
      <c r="I41" s="54">
        <f>SUM(I6:I39)</f>
        <v>0</v>
      </c>
      <c r="J41" s="16"/>
      <c r="K41" s="16"/>
    </row>
    <row r="42" spans="1:11" ht="21.75" customHeight="1" x14ac:dyDescent="0.2">
      <c r="A42" s="134" t="s">
        <v>83</v>
      </c>
      <c r="B42" s="134"/>
      <c r="C42" s="134"/>
      <c r="D42" s="134"/>
      <c r="E42" s="134"/>
      <c r="F42" s="55">
        <f>(F41+G41)*0.2</f>
        <v>521.4</v>
      </c>
      <c r="G42" s="56"/>
      <c r="H42" s="56"/>
      <c r="I42" s="56"/>
      <c r="J42" s="56"/>
      <c r="K42" s="56"/>
    </row>
    <row r="43" spans="1:11" ht="25.5" customHeight="1" x14ac:dyDescent="0.2">
      <c r="A43" s="135" t="s">
        <v>84</v>
      </c>
      <c r="B43" s="135"/>
      <c r="C43" s="135"/>
      <c r="D43" s="135"/>
      <c r="E43" s="135"/>
      <c r="F43" s="57">
        <f>(F41+G41)+F42</f>
        <v>3128.4</v>
      </c>
      <c r="G43" s="58"/>
      <c r="H43" s="57">
        <f>IFERROR(H41,0)</f>
        <v>0</v>
      </c>
      <c r="I43" s="59">
        <f>IFERROR(F43-H43,0)</f>
        <v>3128.4</v>
      </c>
      <c r="J43" s="58"/>
      <c r="K43" s="58"/>
    </row>
  </sheetData>
  <mergeCells count="14">
    <mergeCell ref="A35:K35"/>
    <mergeCell ref="A41:E41"/>
    <mergeCell ref="A42:E42"/>
    <mergeCell ref="A43:E43"/>
    <mergeCell ref="A17:K17"/>
    <mergeCell ref="A21:K21"/>
    <mergeCell ref="A25:K25"/>
    <mergeCell ref="A28:K28"/>
    <mergeCell ref="A32:K32"/>
    <mergeCell ref="A1:K1"/>
    <mergeCell ref="A2:K2"/>
    <mergeCell ref="A5:K5"/>
    <mergeCell ref="A8:K8"/>
    <mergeCell ref="A14:K14"/>
  </mergeCells>
  <conditionalFormatting sqref="I6:I39">
    <cfRule type="cellIs" dxfId="1" priority="2" operator="greaterThan">
      <formula>0</formula>
    </cfRule>
    <cfRule type="cellIs" dxfId="0" priority="3" operator="lessThanOrEqual">
      <formula>0</formula>
    </cfRule>
  </conditionalFormatting>
  <dataValidations count="1">
    <dataValidation type="list" allowBlank="1" sqref="J5:J40" xr:uid="{00000000-0002-0000-0100-000000000000}">
      <formula1>"✅ Завършено,⏳ В процес,⏳ Предстои,⚠️ Проблем,❌ Отменено"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showGridLines="0" zoomScaleNormal="100" workbookViewId="0">
      <selection activeCell="B5" sqref="B5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12" customWidth="1"/>
    <col min="4" max="7" width="14" customWidth="1"/>
    <col min="8" max="8" width="16" customWidth="1"/>
    <col min="9" max="9" width="14" customWidth="1"/>
  </cols>
  <sheetData>
    <row r="1" spans="1:9" ht="37.5" customHeight="1" x14ac:dyDescent="0.2">
      <c r="A1" s="14" t="s">
        <v>85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2">
      <c r="A2" s="13" t="s">
        <v>86</v>
      </c>
      <c r="B2" s="13"/>
      <c r="C2" s="13"/>
      <c r="D2" s="13"/>
      <c r="E2" s="13"/>
      <c r="F2" s="13"/>
      <c r="G2" s="13"/>
      <c r="H2" s="13"/>
      <c r="I2" s="13"/>
    </row>
    <row r="3" spans="1:9" ht="7.5" customHeight="1" x14ac:dyDescent="0.2"/>
    <row r="4" spans="1:9" ht="25.5" customHeight="1" x14ac:dyDescent="0.2">
      <c r="B4" s="12" t="s">
        <v>309</v>
      </c>
      <c r="C4" s="12"/>
      <c r="D4" s="12"/>
      <c r="E4" s="12"/>
      <c r="F4" s="15">
        <v>0</v>
      </c>
      <c r="G4" s="16"/>
      <c r="H4" s="16"/>
      <c r="I4" s="16"/>
    </row>
    <row r="5" spans="1:9" ht="9.75" customHeight="1" x14ac:dyDescent="0.2"/>
    <row r="6" spans="1:9" ht="30" customHeight="1" x14ac:dyDescent="0.2">
      <c r="A6" s="41" t="s">
        <v>87</v>
      </c>
      <c r="B6" s="41" t="s">
        <v>4</v>
      </c>
      <c r="C6" s="41" t="s">
        <v>88</v>
      </c>
      <c r="D6" s="41" t="s">
        <v>89</v>
      </c>
      <c r="E6" s="41" t="s">
        <v>90</v>
      </c>
      <c r="F6" s="41" t="s">
        <v>91</v>
      </c>
      <c r="G6" s="41" t="s">
        <v>92</v>
      </c>
      <c r="H6" s="41" t="s">
        <v>93</v>
      </c>
      <c r="I6" s="41" t="s">
        <v>94</v>
      </c>
    </row>
    <row r="7" spans="1:9" ht="36" customHeight="1" x14ac:dyDescent="0.2">
      <c r="A7" s="60" t="s">
        <v>95</v>
      </c>
      <c r="B7" s="61">
        <v>0.3</v>
      </c>
      <c r="C7" s="62">
        <f>IFERROR($F$4*0.3,0)</f>
        <v>0</v>
      </c>
      <c r="D7" s="44"/>
      <c r="E7" s="44"/>
      <c r="F7" s="15"/>
      <c r="G7" s="45" t="str">
        <f>IF(F7="","",C7-F7)</f>
        <v/>
      </c>
      <c r="H7" s="46" t="s">
        <v>96</v>
      </c>
      <c r="I7" s="63" t="s">
        <v>97</v>
      </c>
    </row>
    <row r="8" spans="1:9" ht="36" customHeight="1" x14ac:dyDescent="0.2">
      <c r="A8" s="64" t="s">
        <v>98</v>
      </c>
      <c r="B8" s="65">
        <v>0.3</v>
      </c>
      <c r="C8" s="62">
        <f>IFERROR($F$4*0.3,0)</f>
        <v>0</v>
      </c>
      <c r="D8" s="44"/>
      <c r="E8" s="44"/>
      <c r="F8" s="15"/>
      <c r="G8" s="45" t="str">
        <f>IF(F8="","",C8-F8)</f>
        <v/>
      </c>
      <c r="H8" s="46" t="s">
        <v>96</v>
      </c>
      <c r="I8" s="66" t="s">
        <v>99</v>
      </c>
    </row>
    <row r="9" spans="1:9" ht="36" customHeight="1" x14ac:dyDescent="0.2">
      <c r="A9" s="67" t="s">
        <v>100</v>
      </c>
      <c r="B9" s="68">
        <v>0.3</v>
      </c>
      <c r="C9" s="62">
        <f>IFERROR($F$4*0.3,0)</f>
        <v>0</v>
      </c>
      <c r="D9" s="44"/>
      <c r="E9" s="44"/>
      <c r="F9" s="15"/>
      <c r="G9" s="45" t="str">
        <f>IF(F9="","",C9-F9)</f>
        <v/>
      </c>
      <c r="H9" s="46" t="s">
        <v>96</v>
      </c>
      <c r="I9" s="69" t="s">
        <v>101</v>
      </c>
    </row>
    <row r="10" spans="1:9" ht="36" customHeight="1" x14ac:dyDescent="0.2">
      <c r="A10" s="70" t="s">
        <v>102</v>
      </c>
      <c r="B10" s="71">
        <v>0.1</v>
      </c>
      <c r="C10" s="62">
        <f>IFERROR($F$4*0.1,0)</f>
        <v>0</v>
      </c>
      <c r="D10" s="44"/>
      <c r="E10" s="44"/>
      <c r="F10" s="15"/>
      <c r="G10" s="45" t="str">
        <f>IF(F10="","",C10-F10)</f>
        <v/>
      </c>
      <c r="H10" s="46" t="s">
        <v>96</v>
      </c>
      <c r="I10" s="72" t="s">
        <v>103</v>
      </c>
    </row>
    <row r="11" spans="1:9" ht="21.75" customHeight="1" x14ac:dyDescent="0.2">
      <c r="A11" s="136" t="s">
        <v>104</v>
      </c>
      <c r="B11" s="136"/>
      <c r="C11" s="136"/>
      <c r="D11" s="136"/>
      <c r="E11" s="136"/>
      <c r="F11" s="136"/>
      <c r="G11" s="136"/>
      <c r="H11" s="136"/>
      <c r="I11" s="136"/>
    </row>
    <row r="12" spans="1:9" ht="7.5" customHeight="1" x14ac:dyDescent="0.2"/>
    <row r="13" spans="1:9" ht="25.5" customHeight="1" x14ac:dyDescent="0.2">
      <c r="A13" s="137" t="s">
        <v>105</v>
      </c>
      <c r="B13" s="137"/>
      <c r="C13" s="73">
        <f>F4</f>
        <v>0</v>
      </c>
      <c r="D13" s="73">
        <f>IFERROR(SUM(F7:F10),0)</f>
        <v>0</v>
      </c>
      <c r="E13" s="73">
        <f>IFERROR(C13-D13,0)</f>
        <v>0</v>
      </c>
      <c r="F13" s="74">
        <f>IFERROR(D13/C13,0)</f>
        <v>0</v>
      </c>
    </row>
    <row r="14" spans="1:9" ht="21.75" customHeight="1" x14ac:dyDescent="0.2">
      <c r="A14" s="138" t="str">
        <f>IF(IFERROR(SUM(F7:F8)/F4,0)&gt;0.5,"⚠️  ВНИМАНИЕ! Изплатени са повече от 50% от договора преди финалната фаза!","✅  Плащанията са в норма — не надвишавате 50% преди финиш")</f>
        <v>✅  Плащанията са в норма — не надвишавате 50% преди финиш</v>
      </c>
      <c r="B14" s="138"/>
      <c r="C14" s="138"/>
      <c r="D14" s="138"/>
      <c r="E14" s="138"/>
      <c r="F14" s="138"/>
      <c r="G14" s="138"/>
      <c r="H14" s="138"/>
      <c r="I14" s="138"/>
    </row>
  </sheetData>
  <mergeCells count="6">
    <mergeCell ref="A14:I14"/>
    <mergeCell ref="A1:I1"/>
    <mergeCell ref="A2:I2"/>
    <mergeCell ref="B4:E4"/>
    <mergeCell ref="A11:I11"/>
    <mergeCell ref="A13:B13"/>
  </mergeCells>
  <dataValidations count="1">
    <dataValidation type="list" allowBlank="1" sqref="H7:H10" xr:uid="{00000000-0002-0000-0200-000000000000}">
      <formula1>"Предстои,Платено,Частично,Забавено"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showGridLines="0" zoomScaleNormal="100" workbookViewId="0">
      <selection activeCell="L10" sqref="L10"/>
    </sheetView>
  </sheetViews>
  <sheetFormatPr baseColWidth="10" defaultColWidth="8.6640625" defaultRowHeight="15" x14ac:dyDescent="0.2"/>
  <cols>
    <col min="1" max="1" width="4" customWidth="1"/>
    <col min="2" max="2" width="26" customWidth="1"/>
    <col min="3" max="3" width="14" customWidth="1"/>
    <col min="4" max="4" width="12" customWidth="1"/>
    <col min="5" max="7" width="14" customWidth="1"/>
    <col min="8" max="8" width="16" customWidth="1"/>
  </cols>
  <sheetData>
    <row r="1" spans="1:8" ht="37.5" customHeight="1" x14ac:dyDescent="0.2">
      <c r="A1" s="14" t="s">
        <v>106</v>
      </c>
      <c r="B1" s="14"/>
      <c r="C1" s="14"/>
      <c r="D1" s="14"/>
      <c r="E1" s="14"/>
      <c r="F1" s="14"/>
      <c r="G1" s="14"/>
      <c r="H1" s="14"/>
    </row>
    <row r="2" spans="1:8" ht="18" customHeight="1" x14ac:dyDescent="0.2">
      <c r="A2" s="13" t="s">
        <v>107</v>
      </c>
      <c r="B2" s="13"/>
      <c r="C2" s="13"/>
      <c r="D2" s="13"/>
      <c r="E2" s="13"/>
      <c r="F2" s="13"/>
      <c r="G2" s="13"/>
      <c r="H2" s="13"/>
    </row>
    <row r="3" spans="1:8" ht="7.5" customHeight="1" x14ac:dyDescent="0.2"/>
    <row r="4" spans="1:8" ht="25.5" customHeight="1" x14ac:dyDescent="0.2">
      <c r="A4" s="11" t="s">
        <v>108</v>
      </c>
      <c r="B4" s="11"/>
      <c r="C4" s="139" t="s">
        <v>109</v>
      </c>
      <c r="D4" s="139"/>
      <c r="E4" s="140" t="s">
        <v>110</v>
      </c>
      <c r="F4" s="140"/>
      <c r="G4" s="124" t="s">
        <v>111</v>
      </c>
      <c r="H4" s="124"/>
    </row>
    <row r="5" spans="1:8" ht="21.75" customHeight="1" x14ac:dyDescent="0.2">
      <c r="A5" s="128" t="s">
        <v>112</v>
      </c>
      <c r="B5" s="128"/>
      <c r="C5" s="141"/>
      <c r="D5" s="141"/>
      <c r="E5" s="141"/>
      <c r="F5" s="141"/>
      <c r="G5" s="141"/>
      <c r="H5" s="141"/>
    </row>
    <row r="6" spans="1:8" ht="21.75" customHeight="1" x14ac:dyDescent="0.2">
      <c r="A6" s="128" t="s">
        <v>310</v>
      </c>
      <c r="B6" s="128"/>
      <c r="C6" s="142"/>
      <c r="D6" s="142"/>
      <c r="E6" s="142"/>
      <c r="F6" s="142"/>
      <c r="G6" s="142"/>
      <c r="H6" s="142"/>
    </row>
    <row r="7" spans="1:8" ht="21.75" customHeight="1" x14ac:dyDescent="0.2">
      <c r="A7" s="128" t="s">
        <v>311</v>
      </c>
      <c r="B7" s="128"/>
      <c r="C7" s="142"/>
      <c r="D7" s="142"/>
      <c r="E7" s="142"/>
      <c r="F7" s="142"/>
      <c r="G7" s="142"/>
      <c r="H7" s="142"/>
    </row>
    <row r="8" spans="1:8" ht="21.75" customHeight="1" x14ac:dyDescent="0.2">
      <c r="A8" s="128" t="s">
        <v>312</v>
      </c>
      <c r="B8" s="128"/>
      <c r="C8" s="142"/>
      <c r="D8" s="142"/>
      <c r="E8" s="142"/>
      <c r="F8" s="142"/>
      <c r="G8" s="142"/>
      <c r="H8" s="142"/>
    </row>
    <row r="9" spans="1:8" ht="21.75" customHeight="1" x14ac:dyDescent="0.2">
      <c r="A9" s="128" t="s">
        <v>113</v>
      </c>
      <c r="B9" s="128"/>
      <c r="C9" s="143"/>
      <c r="D9" s="143"/>
      <c r="E9" s="143"/>
      <c r="F9" s="143"/>
      <c r="G9" s="143"/>
      <c r="H9" s="143"/>
    </row>
    <row r="10" spans="1:8" ht="21.75" customHeight="1" x14ac:dyDescent="0.2">
      <c r="A10" s="128" t="s">
        <v>114</v>
      </c>
      <c r="B10" s="128"/>
      <c r="C10" s="143"/>
      <c r="D10" s="143"/>
      <c r="E10" s="143"/>
      <c r="F10" s="143"/>
      <c r="G10" s="143"/>
      <c r="H10" s="143"/>
    </row>
    <row r="11" spans="1:8" ht="21.75" customHeight="1" x14ac:dyDescent="0.2">
      <c r="A11" s="128" t="s">
        <v>115</v>
      </c>
      <c r="B11" s="128"/>
      <c r="C11" s="144"/>
      <c r="D11" s="144"/>
      <c r="E11" s="144"/>
      <c r="F11" s="144"/>
      <c r="G11" s="144"/>
      <c r="H11" s="144"/>
    </row>
    <row r="12" spans="1:8" ht="21.75" customHeight="1" x14ac:dyDescent="0.2">
      <c r="A12" s="128" t="s">
        <v>116</v>
      </c>
      <c r="B12" s="128"/>
      <c r="C12" s="144"/>
      <c r="D12" s="144"/>
      <c r="E12" s="144"/>
      <c r="F12" s="144"/>
      <c r="G12" s="144"/>
      <c r="H12" s="144"/>
    </row>
    <row r="13" spans="1:8" ht="21.75" customHeight="1" x14ac:dyDescent="0.2">
      <c r="A13" s="128" t="s">
        <v>117</v>
      </c>
      <c r="B13" s="128"/>
      <c r="C13" s="144"/>
      <c r="D13" s="144"/>
      <c r="E13" s="144"/>
      <c r="F13" s="144"/>
      <c r="G13" s="144"/>
      <c r="H13" s="144"/>
    </row>
    <row r="14" spans="1:8" ht="21.75" customHeight="1" x14ac:dyDescent="0.2">
      <c r="A14" s="128" t="s">
        <v>118</v>
      </c>
      <c r="B14" s="128"/>
      <c r="C14" s="144"/>
      <c r="D14" s="144"/>
      <c r="E14" s="144"/>
      <c r="F14" s="144"/>
      <c r="G14" s="144"/>
      <c r="H14" s="144"/>
    </row>
    <row r="15" spans="1:8" ht="21.75" customHeight="1" x14ac:dyDescent="0.2">
      <c r="A15" s="128" t="s">
        <v>119</v>
      </c>
      <c r="B15" s="128"/>
      <c r="C15" s="143"/>
      <c r="D15" s="143"/>
      <c r="E15" s="143"/>
      <c r="F15" s="143"/>
      <c r="G15" s="143"/>
      <c r="H15" s="143"/>
    </row>
    <row r="16" spans="1:8" ht="25.5" customHeight="1" x14ac:dyDescent="0.2">
      <c r="A16" s="137" t="s">
        <v>120</v>
      </c>
      <c r="B16" s="137"/>
      <c r="C16" s="145" t="str">
        <f>IF(C6=MIN($C$6,$E$6,$G$6),"⭐ НАЙ-ЕВТИН","")</f>
        <v>⭐ НАЙ-ЕВТИН</v>
      </c>
      <c r="D16" s="145"/>
      <c r="E16" s="145" t="str">
        <f>IF(E6=MIN($C$6,$E$6,$G$6),"⭐ НАЙ-ЕВТИН","")</f>
        <v>⭐ НАЙ-ЕВТИН</v>
      </c>
      <c r="F16" s="145"/>
      <c r="G16" s="145" t="str">
        <f>IF(G6=MIN($C$6,$E$6,$G$6),"⭐ НАЙ-ЕВТИН","")</f>
        <v>⭐ НАЙ-ЕВТИН</v>
      </c>
      <c r="H16" s="145"/>
    </row>
    <row r="17" spans="1:8" ht="21.75" customHeight="1" x14ac:dyDescent="0.2">
      <c r="A17" s="137" t="s">
        <v>121</v>
      </c>
      <c r="B17" s="137"/>
      <c r="C17" s="146" t="str">
        <f>IF(C15=MAX($C$15,$E$15,$G$15),"✅ ПРЕПОРЪЧАН","")</f>
        <v>✅ ПРЕПОРЪЧАН</v>
      </c>
      <c r="D17" s="146"/>
      <c r="E17" s="146" t="str">
        <f>IF(E15=MAX($C$15,$E$15,$G$15),"✅ ПРЕПОРЪЧАН","")</f>
        <v>✅ ПРЕПОРЪЧАН</v>
      </c>
      <c r="F17" s="146"/>
      <c r="G17" s="146" t="str">
        <f>IF(G15=MAX($C$15,$E$15,$G$15),"✅ ПРЕПОРЪЧАН","")</f>
        <v>✅ ПРЕПОРЪЧАН</v>
      </c>
      <c r="H17" s="146"/>
    </row>
    <row r="18" spans="1:8" ht="9.75" customHeight="1" x14ac:dyDescent="0.2"/>
    <row r="19" spans="1:8" ht="21.75" customHeight="1" x14ac:dyDescent="0.2">
      <c r="A19" s="129" t="s">
        <v>122</v>
      </c>
      <c r="B19" s="129"/>
      <c r="C19" s="129"/>
      <c r="D19" s="129"/>
      <c r="E19" s="129"/>
      <c r="F19" s="129"/>
      <c r="G19" s="129"/>
      <c r="H19" s="129"/>
    </row>
    <row r="20" spans="1:8" ht="19.5" customHeight="1" x14ac:dyDescent="0.2">
      <c r="A20" s="147" t="s">
        <v>123</v>
      </c>
      <c r="B20" s="147"/>
      <c r="C20" s="147"/>
      <c r="D20" s="147"/>
      <c r="E20" s="147"/>
      <c r="F20" s="148" t="s">
        <v>124</v>
      </c>
      <c r="G20" s="148"/>
      <c r="H20" s="148"/>
    </row>
    <row r="21" spans="1:8" ht="19.5" customHeight="1" x14ac:dyDescent="0.2">
      <c r="A21" s="147" t="s">
        <v>125</v>
      </c>
      <c r="B21" s="147"/>
      <c r="C21" s="147"/>
      <c r="D21" s="147"/>
      <c r="E21" s="147"/>
      <c r="F21" s="148" t="s">
        <v>126</v>
      </c>
      <c r="G21" s="148"/>
      <c r="H21" s="148"/>
    </row>
    <row r="22" spans="1:8" ht="19.5" customHeight="1" x14ac:dyDescent="0.2">
      <c r="A22" s="147" t="s">
        <v>127</v>
      </c>
      <c r="B22" s="147"/>
      <c r="C22" s="147"/>
      <c r="D22" s="147"/>
      <c r="E22" s="147"/>
      <c r="F22" s="148" t="s">
        <v>128</v>
      </c>
      <c r="G22" s="148"/>
      <c r="H22" s="148"/>
    </row>
    <row r="23" spans="1:8" ht="19.5" customHeight="1" x14ac:dyDescent="0.2">
      <c r="A23" s="147" t="s">
        <v>129</v>
      </c>
      <c r="B23" s="147"/>
      <c r="C23" s="147"/>
      <c r="D23" s="147"/>
      <c r="E23" s="147"/>
      <c r="F23" s="148" t="s">
        <v>124</v>
      </c>
      <c r="G23" s="148"/>
      <c r="H23" s="148"/>
    </row>
    <row r="24" spans="1:8" ht="19.5" customHeight="1" x14ac:dyDescent="0.2">
      <c r="A24" s="147" t="s">
        <v>130</v>
      </c>
      <c r="B24" s="147"/>
      <c r="C24" s="147"/>
      <c r="D24" s="147"/>
      <c r="E24" s="147"/>
      <c r="F24" s="148" t="s">
        <v>124</v>
      </c>
      <c r="G24" s="148"/>
      <c r="H24" s="148"/>
    </row>
    <row r="25" spans="1:8" ht="19.5" customHeight="1" x14ac:dyDescent="0.2">
      <c r="A25" s="147" t="s">
        <v>131</v>
      </c>
      <c r="B25" s="147"/>
      <c r="C25" s="147"/>
      <c r="D25" s="147"/>
      <c r="E25" s="147"/>
      <c r="F25" s="148" t="s">
        <v>132</v>
      </c>
      <c r="G25" s="148"/>
      <c r="H25" s="148"/>
    </row>
  </sheetData>
  <mergeCells count="71">
    <mergeCell ref="A23:E23"/>
    <mergeCell ref="F23:H23"/>
    <mergeCell ref="A24:E24"/>
    <mergeCell ref="F24:H24"/>
    <mergeCell ref="A25:E25"/>
    <mergeCell ref="F25:H25"/>
    <mergeCell ref="A20:E20"/>
    <mergeCell ref="F20:H20"/>
    <mergeCell ref="A21:E21"/>
    <mergeCell ref="F21:H21"/>
    <mergeCell ref="A22:E22"/>
    <mergeCell ref="F22:H22"/>
    <mergeCell ref="A17:B17"/>
    <mergeCell ref="C17:D17"/>
    <mergeCell ref="E17:F17"/>
    <mergeCell ref="G17:H17"/>
    <mergeCell ref="A19:H19"/>
    <mergeCell ref="A15:B15"/>
    <mergeCell ref="C15:D15"/>
    <mergeCell ref="E15:F15"/>
    <mergeCell ref="G15:H15"/>
    <mergeCell ref="A16:B16"/>
    <mergeCell ref="C16:D16"/>
    <mergeCell ref="E16:F16"/>
    <mergeCell ref="G16:H16"/>
    <mergeCell ref="A13:B13"/>
    <mergeCell ref="C13:D13"/>
    <mergeCell ref="E13:F13"/>
    <mergeCell ref="G13:H13"/>
    <mergeCell ref="A14:B14"/>
    <mergeCell ref="C14:D14"/>
    <mergeCell ref="E14:F14"/>
    <mergeCell ref="G14:H14"/>
    <mergeCell ref="A11:B11"/>
    <mergeCell ref="C11:D11"/>
    <mergeCell ref="E11:F11"/>
    <mergeCell ref="G11:H11"/>
    <mergeCell ref="A12:B12"/>
    <mergeCell ref="C12:D12"/>
    <mergeCell ref="E12:F12"/>
    <mergeCell ref="G12:H12"/>
    <mergeCell ref="A9:B9"/>
    <mergeCell ref="C9:D9"/>
    <mergeCell ref="E9:F9"/>
    <mergeCell ref="G9:H9"/>
    <mergeCell ref="A10:B10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5:B5"/>
    <mergeCell ref="C5:D5"/>
    <mergeCell ref="E5:F5"/>
    <mergeCell ref="G5:H5"/>
    <mergeCell ref="A6:B6"/>
    <mergeCell ref="C6:D6"/>
    <mergeCell ref="E6:F6"/>
    <mergeCell ref="G6:H6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4" customWidth="1"/>
    <col min="2" max="2" width="28" customWidth="1"/>
    <col min="3" max="5" width="16" customWidth="1"/>
    <col min="6" max="7" width="12" customWidth="1"/>
    <col min="8" max="8" width="18" customWidth="1"/>
  </cols>
  <sheetData>
    <row r="1" spans="1:8" ht="37.5" customHeight="1" x14ac:dyDescent="0.2">
      <c r="A1" s="14" t="s">
        <v>133</v>
      </c>
      <c r="B1" s="14"/>
      <c r="C1" s="14"/>
      <c r="D1" s="14"/>
      <c r="E1" s="14"/>
      <c r="F1" s="14"/>
      <c r="G1" s="14"/>
      <c r="H1" s="14"/>
    </row>
    <row r="2" spans="1:8" ht="18" customHeight="1" x14ac:dyDescent="0.2">
      <c r="A2" s="13" t="s">
        <v>134</v>
      </c>
      <c r="B2" s="13"/>
      <c r="C2" s="13"/>
      <c r="D2" s="13"/>
      <c r="E2" s="13"/>
      <c r="F2" s="13"/>
      <c r="G2" s="13"/>
      <c r="H2" s="13"/>
    </row>
    <row r="3" spans="1:8" ht="7.5" customHeight="1" x14ac:dyDescent="0.2"/>
    <row r="4" spans="1:8" ht="31.5" customHeight="1" x14ac:dyDescent="0.2">
      <c r="A4" s="41" t="s">
        <v>135</v>
      </c>
      <c r="B4" s="41" t="s">
        <v>313</v>
      </c>
      <c r="C4" s="41" t="s">
        <v>314</v>
      </c>
      <c r="D4" s="41" t="s">
        <v>315</v>
      </c>
      <c r="E4" s="41" t="s">
        <v>316</v>
      </c>
      <c r="F4" s="41" t="s">
        <v>136</v>
      </c>
      <c r="G4" s="41" t="s">
        <v>22</v>
      </c>
      <c r="H4" s="75" t="s">
        <v>317</v>
      </c>
    </row>
    <row r="5" spans="1:8" ht="21.75" customHeight="1" x14ac:dyDescent="0.2">
      <c r="A5" s="76" t="s">
        <v>137</v>
      </c>
      <c r="B5" s="77">
        <v>1000</v>
      </c>
      <c r="C5" s="77">
        <v>3000</v>
      </c>
      <c r="D5" s="77">
        <v>3000</v>
      </c>
      <c r="E5" s="77">
        <v>8000</v>
      </c>
      <c r="F5" s="78" t="s">
        <v>138</v>
      </c>
      <c r="G5" s="79" t="s">
        <v>139</v>
      </c>
      <c r="H5" s="15"/>
    </row>
    <row r="6" spans="1:8" ht="21.75" customHeight="1" x14ac:dyDescent="0.2">
      <c r="A6" s="76" t="s">
        <v>140</v>
      </c>
      <c r="B6" s="77">
        <v>4000</v>
      </c>
      <c r="C6" s="77">
        <v>10000</v>
      </c>
      <c r="D6" s="77">
        <v>8000</v>
      </c>
      <c r="E6" s="77">
        <v>18000</v>
      </c>
      <c r="F6" s="78" t="s">
        <v>141</v>
      </c>
      <c r="G6" s="79" t="s">
        <v>142</v>
      </c>
      <c r="H6" s="15"/>
    </row>
    <row r="7" spans="1:8" ht="21.75" customHeight="1" x14ac:dyDescent="0.2">
      <c r="A7" s="76" t="s">
        <v>143</v>
      </c>
      <c r="B7" s="77">
        <v>8000</v>
      </c>
      <c r="C7" s="77">
        <v>20000</v>
      </c>
      <c r="D7" s="77">
        <v>15000</v>
      </c>
      <c r="E7" s="77">
        <v>35000</v>
      </c>
      <c r="F7" s="78" t="s">
        <v>144</v>
      </c>
      <c r="G7" s="79" t="s">
        <v>142</v>
      </c>
      <c r="H7" s="15"/>
    </row>
    <row r="8" spans="1:8" ht="21.75" customHeight="1" x14ac:dyDescent="0.2">
      <c r="A8" s="76" t="s">
        <v>145</v>
      </c>
      <c r="B8" s="77">
        <v>4000</v>
      </c>
      <c r="C8" s="77">
        <v>12000</v>
      </c>
      <c r="D8" s="77">
        <v>5000</v>
      </c>
      <c r="E8" s="77">
        <v>15000</v>
      </c>
      <c r="F8" s="78" t="s">
        <v>146</v>
      </c>
      <c r="G8" s="79" t="s">
        <v>147</v>
      </c>
      <c r="H8" s="15"/>
    </row>
    <row r="9" spans="1:8" ht="21.75" customHeight="1" x14ac:dyDescent="0.2">
      <c r="A9" s="76" t="s">
        <v>148</v>
      </c>
      <c r="B9" s="77">
        <v>500</v>
      </c>
      <c r="C9" s="77">
        <v>2000</v>
      </c>
      <c r="D9" s="80" t="s">
        <v>149</v>
      </c>
      <c r="E9" s="80" t="s">
        <v>149</v>
      </c>
      <c r="F9" s="78" t="s">
        <v>150</v>
      </c>
      <c r="G9" s="79" t="s">
        <v>139</v>
      </c>
      <c r="H9" s="15"/>
    </row>
    <row r="10" spans="1:8" ht="21.75" customHeight="1" x14ac:dyDescent="0.2">
      <c r="A10" s="76" t="s">
        <v>151</v>
      </c>
      <c r="B10" s="77">
        <v>300</v>
      </c>
      <c r="C10" s="77">
        <v>800</v>
      </c>
      <c r="D10" s="77">
        <v>1500</v>
      </c>
      <c r="E10" s="77">
        <v>4000</v>
      </c>
      <c r="F10" s="78" t="s">
        <v>152</v>
      </c>
      <c r="G10" s="79" t="s">
        <v>153</v>
      </c>
      <c r="H10" s="15"/>
    </row>
    <row r="11" spans="1:8" ht="21.75" customHeight="1" x14ac:dyDescent="0.2">
      <c r="A11" s="81" t="s">
        <v>154</v>
      </c>
      <c r="B11" s="82">
        <v>3000</v>
      </c>
      <c r="C11" s="82">
        <v>8000</v>
      </c>
      <c r="D11" s="82">
        <v>2000</v>
      </c>
      <c r="E11" s="82">
        <v>5000</v>
      </c>
      <c r="F11" s="83" t="s">
        <v>155</v>
      </c>
      <c r="G11" s="84" t="s">
        <v>156</v>
      </c>
      <c r="H11" s="15"/>
    </row>
    <row r="12" spans="1:8" ht="21.75" customHeight="1" x14ac:dyDescent="0.2">
      <c r="A12" s="81" t="s">
        <v>157</v>
      </c>
      <c r="B12" s="82">
        <v>3000</v>
      </c>
      <c r="C12" s="82">
        <v>7000</v>
      </c>
      <c r="D12" s="82">
        <v>2000</v>
      </c>
      <c r="E12" s="82">
        <v>5000</v>
      </c>
      <c r="F12" s="83" t="s">
        <v>158</v>
      </c>
      <c r="G12" s="84" t="s">
        <v>156</v>
      </c>
      <c r="H12" s="15"/>
    </row>
    <row r="13" spans="1:8" ht="21.75" customHeight="1" x14ac:dyDescent="0.2">
      <c r="A13" s="81" t="s">
        <v>159</v>
      </c>
      <c r="B13" s="82">
        <v>5000</v>
      </c>
      <c r="C13" s="82">
        <v>15000</v>
      </c>
      <c r="D13" s="82">
        <v>3000</v>
      </c>
      <c r="E13" s="82">
        <v>8000</v>
      </c>
      <c r="F13" s="83" t="s">
        <v>160</v>
      </c>
      <c r="G13" s="84" t="s">
        <v>161</v>
      </c>
      <c r="H13" s="15"/>
    </row>
    <row r="14" spans="1:8" ht="21.75" customHeight="1" x14ac:dyDescent="0.2">
      <c r="A14" s="85" t="s">
        <v>162</v>
      </c>
      <c r="B14" s="86">
        <v>5000</v>
      </c>
      <c r="C14" s="86">
        <v>15000</v>
      </c>
      <c r="D14" s="86">
        <v>2000</v>
      </c>
      <c r="E14" s="86">
        <v>6000</v>
      </c>
      <c r="F14" s="87" t="s">
        <v>163</v>
      </c>
      <c r="G14" s="88" t="s">
        <v>164</v>
      </c>
      <c r="H14" s="15"/>
    </row>
    <row r="15" spans="1:8" ht="21.75" customHeight="1" x14ac:dyDescent="0.2">
      <c r="A15" s="81" t="s">
        <v>165</v>
      </c>
      <c r="B15" s="82">
        <v>2000</v>
      </c>
      <c r="C15" s="82">
        <v>5000</v>
      </c>
      <c r="D15" s="82">
        <v>1500</v>
      </c>
      <c r="E15" s="82">
        <v>3500</v>
      </c>
      <c r="F15" s="83" t="s">
        <v>166</v>
      </c>
      <c r="G15" s="84" t="s">
        <v>167</v>
      </c>
      <c r="H15" s="15"/>
    </row>
    <row r="17" spans="1:8" ht="9.75" customHeight="1" x14ac:dyDescent="0.2"/>
    <row r="18" spans="1:8" ht="21.75" customHeight="1" x14ac:dyDescent="0.2">
      <c r="A18" s="149" t="s">
        <v>168</v>
      </c>
      <c r="B18" s="149"/>
      <c r="C18" s="149"/>
      <c r="D18" s="149"/>
      <c r="E18" s="149"/>
      <c r="F18" s="149"/>
      <c r="G18" s="149"/>
      <c r="H18" s="149"/>
    </row>
    <row r="19" spans="1:8" ht="21.75" customHeight="1" x14ac:dyDescent="0.2">
      <c r="A19" s="128" t="s">
        <v>318</v>
      </c>
      <c r="B19" s="128"/>
      <c r="C19" s="128"/>
      <c r="D19" s="15">
        <v>0</v>
      </c>
      <c r="E19" s="128" t="s">
        <v>319</v>
      </c>
      <c r="F19" s="128"/>
      <c r="G19" s="15">
        <v>0</v>
      </c>
    </row>
    <row r="20" spans="1:8" ht="25.5" customHeight="1" x14ac:dyDescent="0.2">
      <c r="A20" s="150" t="s">
        <v>169</v>
      </c>
      <c r="B20" s="150"/>
      <c r="C20" s="150"/>
      <c r="D20" s="89">
        <f>IFERROR((G19-D19)/D19,0)</f>
        <v>0</v>
      </c>
      <c r="E20" s="150" t="s">
        <v>170</v>
      </c>
      <c r="F20" s="150"/>
      <c r="G20" s="90" t="str">
        <f>IFERROR(G19/D19,"—")</f>
        <v>—</v>
      </c>
      <c r="H20" s="91" t="str">
        <f>IF(D20&gt;1,"✅ Инвестицията се изплаща",IF(D20&gt;0.5,"🟡 Слаб ROI — внимавайте","🔴 Не се изплаща!"))</f>
        <v>🔴 Не се изплаща!</v>
      </c>
    </row>
  </sheetData>
  <mergeCells count="7">
    <mergeCell ref="A20:C20"/>
    <mergeCell ref="E20:F20"/>
    <mergeCell ref="A1:H1"/>
    <mergeCell ref="A2:H2"/>
    <mergeCell ref="A18:H18"/>
    <mergeCell ref="A19:C19"/>
    <mergeCell ref="E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6" width="16" customWidth="1"/>
    <col min="7" max="7" width="18" customWidth="1"/>
  </cols>
  <sheetData>
    <row r="1" spans="1:7" ht="37.5" customHeight="1" x14ac:dyDescent="0.2">
      <c r="A1" s="14" t="s">
        <v>171</v>
      </c>
      <c r="B1" s="14"/>
      <c r="C1" s="14"/>
      <c r="D1" s="14"/>
      <c r="E1" s="14"/>
      <c r="F1" s="14"/>
      <c r="G1" s="14"/>
    </row>
    <row r="2" spans="1:7" ht="18" customHeight="1" x14ac:dyDescent="0.2">
      <c r="A2" s="13" t="s">
        <v>172</v>
      </c>
      <c r="B2" s="13"/>
      <c r="C2" s="13"/>
      <c r="D2" s="13"/>
      <c r="E2" s="13"/>
      <c r="F2" s="13"/>
      <c r="G2" s="13"/>
    </row>
    <row r="3" spans="1:7" ht="7.5" customHeight="1" x14ac:dyDescent="0.2"/>
    <row r="4" spans="1:7" ht="21.75" customHeight="1" x14ac:dyDescent="0.2">
      <c r="A4" s="6" t="s">
        <v>173</v>
      </c>
      <c r="B4" s="6"/>
      <c r="C4" s="6"/>
      <c r="D4" s="6"/>
      <c r="E4" s="6"/>
      <c r="F4" s="6"/>
      <c r="G4" s="6"/>
    </row>
    <row r="5" spans="1:7" ht="21.75" customHeight="1" x14ac:dyDescent="0.2">
      <c r="A5" s="151" t="s">
        <v>320</v>
      </c>
      <c r="B5" s="151"/>
      <c r="C5" s="151"/>
      <c r="D5" s="151"/>
      <c r="E5" s="15"/>
      <c r="F5" s="92"/>
      <c r="G5" s="92"/>
    </row>
    <row r="6" spans="1:7" ht="21.75" customHeight="1" x14ac:dyDescent="0.2">
      <c r="A6" s="151" t="s">
        <v>321</v>
      </c>
      <c r="B6" s="151"/>
      <c r="C6" s="151"/>
      <c r="D6" s="151"/>
      <c r="E6" s="15"/>
      <c r="F6" s="92"/>
      <c r="G6" s="92"/>
    </row>
    <row r="7" spans="1:7" ht="21.75" customHeight="1" x14ac:dyDescent="0.2">
      <c r="A7" s="151" t="s">
        <v>174</v>
      </c>
      <c r="B7" s="151"/>
      <c r="C7" s="151"/>
      <c r="D7" s="151"/>
      <c r="E7" s="93"/>
      <c r="F7" s="92"/>
      <c r="G7" s="92"/>
    </row>
    <row r="8" spans="1:7" ht="21.75" customHeight="1" x14ac:dyDescent="0.2">
      <c r="A8" s="151" t="s">
        <v>175</v>
      </c>
      <c r="B8" s="151"/>
      <c r="C8" s="151"/>
      <c r="D8" s="151"/>
      <c r="E8" s="36"/>
      <c r="F8" s="92"/>
      <c r="G8" s="92"/>
    </row>
    <row r="9" spans="1:7" ht="21.75" customHeight="1" x14ac:dyDescent="0.2">
      <c r="A9" s="151" t="s">
        <v>322</v>
      </c>
      <c r="B9" s="151"/>
      <c r="C9" s="151"/>
      <c r="D9" s="151"/>
      <c r="E9" s="15"/>
      <c r="F9" s="92"/>
      <c r="G9" s="92"/>
    </row>
    <row r="10" spans="1:7" ht="21.75" customHeight="1" x14ac:dyDescent="0.2">
      <c r="A10" s="151" t="s">
        <v>176</v>
      </c>
      <c r="B10" s="151"/>
      <c r="C10" s="151"/>
      <c r="D10" s="151"/>
      <c r="E10" s="44"/>
      <c r="F10" s="92"/>
      <c r="G10" s="92"/>
    </row>
    <row r="11" spans="1:7" ht="21.75" customHeight="1" x14ac:dyDescent="0.2">
      <c r="A11" s="151" t="s">
        <v>177</v>
      </c>
      <c r="B11" s="151"/>
      <c r="C11" s="151"/>
      <c r="D11" s="151"/>
      <c r="E11" s="44"/>
      <c r="F11" s="92"/>
      <c r="G11" s="92"/>
    </row>
    <row r="12" spans="1:7" ht="7.5" customHeight="1" x14ac:dyDescent="0.2"/>
    <row r="13" spans="1:7" ht="21.75" customHeight="1" x14ac:dyDescent="0.2">
      <c r="A13" s="149" t="s">
        <v>178</v>
      </c>
      <c r="B13" s="149"/>
      <c r="C13" s="149"/>
      <c r="D13" s="149"/>
      <c r="E13" s="149"/>
      <c r="F13" s="149"/>
      <c r="G13" s="149"/>
    </row>
    <row r="14" spans="1:7" ht="21.75" customHeight="1" x14ac:dyDescent="0.2">
      <c r="A14" s="152" t="s">
        <v>179</v>
      </c>
      <c r="B14" s="152"/>
      <c r="C14" s="152"/>
      <c r="D14" s="152"/>
      <c r="E14" s="94">
        <f>IFERROR(C6/C5,0)</f>
        <v>0</v>
      </c>
      <c r="F14" s="95"/>
      <c r="G14" s="95"/>
    </row>
    <row r="15" spans="1:7" ht="21.75" customHeight="1" x14ac:dyDescent="0.2">
      <c r="A15" s="152" t="s">
        <v>180</v>
      </c>
      <c r="B15" s="152"/>
      <c r="C15" s="152"/>
      <c r="D15" s="152"/>
      <c r="E15" s="94">
        <f>IFERROR(C14-C7,0)</f>
        <v>0</v>
      </c>
      <c r="F15" s="95"/>
      <c r="G15" s="95"/>
    </row>
    <row r="16" spans="1:7" ht="21.75" customHeight="1" x14ac:dyDescent="0.2">
      <c r="A16" s="152" t="s">
        <v>323</v>
      </c>
      <c r="B16" s="152"/>
      <c r="C16" s="152"/>
      <c r="D16" s="152"/>
      <c r="E16" s="62">
        <f>IFERROR(C5-C6,0)</f>
        <v>0</v>
      </c>
      <c r="F16" s="95"/>
      <c r="G16" s="95"/>
    </row>
    <row r="17" spans="1:7" ht="21.75" customHeight="1" x14ac:dyDescent="0.2">
      <c r="A17" s="152" t="s">
        <v>324</v>
      </c>
      <c r="B17" s="152"/>
      <c r="C17" s="152"/>
      <c r="D17" s="152"/>
      <c r="E17" s="62">
        <f>IFERROR(C5*0.2-C9,0)</f>
        <v>0</v>
      </c>
      <c r="F17" s="95"/>
      <c r="G17" s="95"/>
    </row>
    <row r="18" spans="1:7" ht="21.75" customHeight="1" x14ac:dyDescent="0.2">
      <c r="A18" s="152" t="s">
        <v>181</v>
      </c>
      <c r="B18" s="152"/>
      <c r="C18" s="152"/>
      <c r="D18" s="152"/>
      <c r="E18" s="94">
        <f>IFERROR((C5*0.2-C9)/(C5*0.2),0)</f>
        <v>0</v>
      </c>
      <c r="F18" s="95"/>
      <c r="G18" s="95"/>
    </row>
    <row r="19" spans="1:7" ht="7.5" customHeight="1" x14ac:dyDescent="0.2"/>
    <row r="20" spans="1:7" ht="21.75" customHeight="1" x14ac:dyDescent="0.2">
      <c r="A20" s="149" t="s">
        <v>182</v>
      </c>
      <c r="B20" s="149"/>
      <c r="C20" s="149"/>
      <c r="D20" s="149"/>
      <c r="E20" s="149"/>
      <c r="F20" s="149"/>
      <c r="G20" s="149"/>
    </row>
    <row r="21" spans="1:7" ht="31.5" customHeight="1" x14ac:dyDescent="0.2">
      <c r="A21" s="153" t="str">
        <f>IF(IFERROR(C6/C5,0)&lt;=0,"⏳  Въведете данни за анализ",IF(IFERROR(C6/C5,0)&lt;=IFERROR(C7,0)+0.1,"✅  ЗЕЛЕНО — до 10% надхвърляне. Нормално — използвайте резерва.",IF(IFERROR(C6/C5,0)&lt;=IFERROR(C7,0)+0.2,"🟡  ЖЪЛТО — 10–20% надхвърляне. ВНИМАНИЕ! Ревизирайте оставащите позиции.","🔴  ЧЕРВЕНО — НАД 20%! СЕРИОЗЕН ПРОБЛЕМ. Спрете плащанията и анализирайте!")))</f>
        <v>⏳  Въведете данни за анализ</v>
      </c>
      <c r="B21" s="153"/>
      <c r="C21" s="153"/>
      <c r="D21" s="153"/>
      <c r="E21" s="153"/>
      <c r="F21" s="153"/>
      <c r="G21" s="153"/>
    </row>
    <row r="22" spans="1:7" ht="9.75" customHeight="1" x14ac:dyDescent="0.2"/>
    <row r="23" spans="1:7" ht="21.75" customHeight="1" x14ac:dyDescent="0.2">
      <c r="A23" s="154" t="s">
        <v>183</v>
      </c>
      <c r="B23" s="154"/>
      <c r="C23" s="155" t="s">
        <v>184</v>
      </c>
      <c r="D23" s="155"/>
      <c r="E23" s="156" t="s">
        <v>185</v>
      </c>
      <c r="F23" s="156"/>
    </row>
    <row r="24" spans="1:7" ht="18" customHeight="1" x14ac:dyDescent="0.2">
      <c r="A24" s="146" t="s">
        <v>186</v>
      </c>
      <c r="B24" s="146"/>
      <c r="C24" s="145" t="s">
        <v>187</v>
      </c>
      <c r="D24" s="145"/>
      <c r="E24" s="157" t="s">
        <v>188</v>
      </c>
      <c r="F24" s="157"/>
    </row>
    <row r="25" spans="1:7" ht="19.5" customHeight="1" x14ac:dyDescent="0.2">
      <c r="A25" s="158" t="s">
        <v>189</v>
      </c>
      <c r="B25" s="158"/>
      <c r="C25" s="159" t="s">
        <v>190</v>
      </c>
      <c r="D25" s="159"/>
      <c r="E25" s="160" t="s">
        <v>191</v>
      </c>
      <c r="F25" s="160"/>
    </row>
    <row r="26" spans="1:7" ht="19.5" customHeight="1" x14ac:dyDescent="0.2">
      <c r="A26" s="158" t="s">
        <v>192</v>
      </c>
      <c r="B26" s="158"/>
      <c r="C26" s="159" t="s">
        <v>193</v>
      </c>
      <c r="D26" s="159"/>
      <c r="E26" s="160" t="s">
        <v>194</v>
      </c>
      <c r="F26" s="160"/>
    </row>
    <row r="27" spans="1:7" ht="19.5" customHeight="1" x14ac:dyDescent="0.2">
      <c r="A27" s="158" t="s">
        <v>195</v>
      </c>
      <c r="B27" s="158"/>
      <c r="C27" s="159" t="s">
        <v>196</v>
      </c>
      <c r="D27" s="159"/>
      <c r="E27" s="160" t="s">
        <v>197</v>
      </c>
      <c r="F27" s="160"/>
    </row>
    <row r="28" spans="1:7" ht="19.5" customHeight="1" x14ac:dyDescent="0.2">
      <c r="A28" s="158" t="s">
        <v>198</v>
      </c>
      <c r="B28" s="158"/>
      <c r="C28" s="159" t="s">
        <v>199</v>
      </c>
      <c r="D28" s="159"/>
      <c r="E28" s="160" t="s">
        <v>200</v>
      </c>
      <c r="F28" s="160"/>
    </row>
    <row r="29" spans="1:7" ht="9.75" customHeight="1" x14ac:dyDescent="0.2"/>
    <row r="30" spans="1:7" ht="21.75" customHeight="1" x14ac:dyDescent="0.2">
      <c r="A30" s="149" t="s">
        <v>201</v>
      </c>
      <c r="B30" s="149"/>
      <c r="C30" s="149"/>
      <c r="D30" s="149"/>
      <c r="E30" s="149"/>
      <c r="F30" s="149"/>
      <c r="G30" s="149"/>
    </row>
    <row r="31" spans="1:7" ht="25.5" customHeight="1" x14ac:dyDescent="0.2">
      <c r="A31" s="41" t="s">
        <v>202</v>
      </c>
      <c r="B31" s="41" t="s">
        <v>203</v>
      </c>
      <c r="C31" s="41" t="s">
        <v>204</v>
      </c>
      <c r="D31" s="41" t="s">
        <v>205</v>
      </c>
      <c r="E31" s="41" t="s">
        <v>93</v>
      </c>
      <c r="F31" s="41" t="s">
        <v>206</v>
      </c>
      <c r="G31" s="41" t="s">
        <v>207</v>
      </c>
    </row>
    <row r="32" spans="1:7" ht="21.75" customHeight="1" x14ac:dyDescent="0.2">
      <c r="A32" s="96" t="s">
        <v>208</v>
      </c>
      <c r="B32" s="97" t="s">
        <v>209</v>
      </c>
      <c r="C32" s="98" t="s">
        <v>210</v>
      </c>
      <c r="D32" s="87" t="str">
        <f>IF(IFERROR(C6/C5,0)&gt;IFERROR(C7,0),"🚨 ТРЕВОГА!","✅ Нормално")</f>
        <v>✅ Нормално</v>
      </c>
      <c r="E32" s="99" t="s">
        <v>211</v>
      </c>
      <c r="F32" s="97" t="s">
        <v>212</v>
      </c>
      <c r="G32" s="100" t="s">
        <v>213</v>
      </c>
    </row>
    <row r="33" spans="1:7" ht="21.75" customHeight="1" x14ac:dyDescent="0.2">
      <c r="A33" s="96" t="s">
        <v>208</v>
      </c>
      <c r="B33" s="97" t="s">
        <v>214</v>
      </c>
      <c r="C33" s="98" t="s">
        <v>215</v>
      </c>
      <c r="D33" s="87" t="str">
        <f>IF(IFERROR(C18,0)&lt;0.05,"🚨 ТРЕВОГА!","✅ Нормално")</f>
        <v>🚨 ТРЕВОГА!</v>
      </c>
      <c r="E33" s="99" t="s">
        <v>211</v>
      </c>
      <c r="F33" s="97" t="s">
        <v>212</v>
      </c>
      <c r="G33" s="100" t="s">
        <v>213</v>
      </c>
    </row>
    <row r="34" spans="1:7" ht="21.75" customHeight="1" x14ac:dyDescent="0.2">
      <c r="A34" s="101" t="s">
        <v>216</v>
      </c>
      <c r="B34" s="102" t="s">
        <v>217</v>
      </c>
      <c r="C34" s="103" t="s">
        <v>218</v>
      </c>
      <c r="D34" s="83" t="str">
        <f>IF(IFERROR(C8,0)&gt;3,"⚠️ Внимание","✅ Нормално")</f>
        <v>✅ Нормално</v>
      </c>
      <c r="E34" s="99" t="s">
        <v>211</v>
      </c>
      <c r="F34" s="102" t="s">
        <v>219</v>
      </c>
      <c r="G34" s="100" t="s">
        <v>213</v>
      </c>
    </row>
    <row r="35" spans="1:7" ht="21.75" customHeight="1" x14ac:dyDescent="0.2">
      <c r="A35" s="101" t="s">
        <v>216</v>
      </c>
      <c r="B35" s="102" t="s">
        <v>220</v>
      </c>
      <c r="C35" s="103" t="s">
        <v>221</v>
      </c>
      <c r="D35" s="83" t="str">
        <f>IF(H33="Да","⚠️ Проверете","✅ Нормално")</f>
        <v>✅ Нормално</v>
      </c>
      <c r="E35" s="99" t="s">
        <v>211</v>
      </c>
      <c r="F35" s="102" t="s">
        <v>219</v>
      </c>
      <c r="G35" s="100" t="s">
        <v>213</v>
      </c>
    </row>
    <row r="36" spans="1:7" ht="21.75" customHeight="1" x14ac:dyDescent="0.2">
      <c r="A36" s="104" t="s">
        <v>222</v>
      </c>
      <c r="B36" s="105" t="s">
        <v>223</v>
      </c>
      <c r="C36" s="106" t="s">
        <v>221</v>
      </c>
      <c r="D36" s="107" t="str">
        <f>IF(H34="Да","💡 Следете","✅ Нормално")</f>
        <v>✅ Нормално</v>
      </c>
      <c r="E36" s="99" t="s">
        <v>211</v>
      </c>
      <c r="F36" s="105" t="s">
        <v>224</v>
      </c>
      <c r="G36" s="100" t="s">
        <v>213</v>
      </c>
    </row>
    <row r="37" spans="1:7" ht="21.75" customHeight="1" x14ac:dyDescent="0.2">
      <c r="A37" s="104" t="s">
        <v>222</v>
      </c>
      <c r="B37" s="105" t="s">
        <v>225</v>
      </c>
      <c r="C37" s="106" t="s">
        <v>221</v>
      </c>
      <c r="D37" s="107" t="str">
        <f>IF(H35="Да","💡 Следете","✅ Нормално")</f>
        <v>✅ Нормално</v>
      </c>
      <c r="E37" s="99" t="s">
        <v>211</v>
      </c>
      <c r="F37" s="105" t="s">
        <v>224</v>
      </c>
      <c r="G37" s="100" t="s">
        <v>213</v>
      </c>
    </row>
  </sheetData>
  <mergeCells count="37">
    <mergeCell ref="A28:B28"/>
    <mergeCell ref="C28:D28"/>
    <mergeCell ref="E28:F28"/>
    <mergeCell ref="A30:G30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18:D18"/>
    <mergeCell ref="A20:G20"/>
    <mergeCell ref="A21:G21"/>
    <mergeCell ref="A23:B23"/>
    <mergeCell ref="C23:D23"/>
    <mergeCell ref="E23:F23"/>
    <mergeCell ref="A13:G13"/>
    <mergeCell ref="A14:D14"/>
    <mergeCell ref="A15:D15"/>
    <mergeCell ref="A16:D16"/>
    <mergeCell ref="A17:D17"/>
    <mergeCell ref="A7:D7"/>
    <mergeCell ref="A8:D8"/>
    <mergeCell ref="A9:D9"/>
    <mergeCell ref="A10:D10"/>
    <mergeCell ref="A11:D11"/>
    <mergeCell ref="A1:G1"/>
    <mergeCell ref="A2:G2"/>
    <mergeCell ref="A4:G4"/>
    <mergeCell ref="A5:D5"/>
    <mergeCell ref="A6:D6"/>
  </mergeCells>
  <dataValidations count="1">
    <dataValidation type="list" allowBlank="1" sqref="F32:F37" xr:uid="{00000000-0002-0000-0500-000000000000}">
      <formula1>"Да,Не"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1" width="4" customWidth="1"/>
    <col min="2" max="2" width="28" customWidth="1"/>
    <col min="3" max="4" width="22" customWidth="1"/>
  </cols>
  <sheetData>
    <row r="1" spans="1:4" ht="37.5" customHeight="1" x14ac:dyDescent="0.2">
      <c r="A1" s="14" t="s">
        <v>226</v>
      </c>
      <c r="B1" s="14"/>
      <c r="C1" s="14"/>
      <c r="D1" s="14"/>
    </row>
    <row r="2" spans="1:4" ht="18" customHeight="1" x14ac:dyDescent="0.2">
      <c r="A2" s="13" t="s">
        <v>227</v>
      </c>
      <c r="B2" s="13"/>
      <c r="C2" s="13"/>
      <c r="D2" s="13"/>
    </row>
    <row r="3" spans="1:4" ht="7.5" customHeight="1" x14ac:dyDescent="0.2"/>
    <row r="4" spans="1:4" ht="30" customHeight="1" x14ac:dyDescent="0.2">
      <c r="A4" s="108" t="s">
        <v>108</v>
      </c>
      <c r="B4" s="109" t="s">
        <v>228</v>
      </c>
      <c r="C4" s="110" t="s">
        <v>229</v>
      </c>
      <c r="D4" s="75" t="s">
        <v>230</v>
      </c>
    </row>
    <row r="5" spans="1:4" ht="25.5" customHeight="1" x14ac:dyDescent="0.2">
      <c r="A5" s="39" t="s">
        <v>231</v>
      </c>
      <c r="B5" s="111" t="s">
        <v>232</v>
      </c>
      <c r="C5" s="112" t="s">
        <v>233</v>
      </c>
      <c r="D5" s="113"/>
    </row>
    <row r="6" spans="1:4" ht="25.5" customHeight="1" x14ac:dyDescent="0.2">
      <c r="A6" s="39" t="s">
        <v>234</v>
      </c>
      <c r="B6" s="111" t="s">
        <v>325</v>
      </c>
      <c r="C6" s="112" t="s">
        <v>326</v>
      </c>
      <c r="D6" s="113"/>
    </row>
    <row r="7" spans="1:4" ht="25.5" customHeight="1" x14ac:dyDescent="0.2">
      <c r="A7" s="39" t="s">
        <v>235</v>
      </c>
      <c r="B7" s="111" t="s">
        <v>236</v>
      </c>
      <c r="C7" s="112" t="s">
        <v>237</v>
      </c>
      <c r="D7" s="113"/>
    </row>
    <row r="8" spans="1:4" ht="25.5" customHeight="1" x14ac:dyDescent="0.2">
      <c r="A8" s="39" t="s">
        <v>238</v>
      </c>
      <c r="B8" s="111" t="s">
        <v>239</v>
      </c>
      <c r="C8" s="112" t="s">
        <v>240</v>
      </c>
      <c r="D8" s="113"/>
    </row>
    <row r="9" spans="1:4" ht="25.5" customHeight="1" x14ac:dyDescent="0.2">
      <c r="A9" s="39" t="s">
        <v>241</v>
      </c>
      <c r="B9" s="111" t="s">
        <v>242</v>
      </c>
      <c r="C9" s="112" t="s">
        <v>243</v>
      </c>
      <c r="D9" s="113"/>
    </row>
    <row r="10" spans="1:4" ht="25.5" customHeight="1" x14ac:dyDescent="0.2">
      <c r="A10" s="39" t="s">
        <v>244</v>
      </c>
      <c r="B10" s="111" t="s">
        <v>245</v>
      </c>
      <c r="C10" s="112" t="s">
        <v>246</v>
      </c>
      <c r="D10" s="113"/>
    </row>
    <row r="11" spans="1:4" ht="25.5" customHeight="1" x14ac:dyDescent="0.2">
      <c r="A11" s="39" t="s">
        <v>247</v>
      </c>
      <c r="B11" s="111" t="s">
        <v>248</v>
      </c>
      <c r="C11" s="112" t="s">
        <v>249</v>
      </c>
      <c r="D11" s="113"/>
    </row>
    <row r="12" spans="1:4" ht="25.5" customHeight="1" x14ac:dyDescent="0.2">
      <c r="A12" s="39" t="s">
        <v>250</v>
      </c>
      <c r="B12" s="111" t="s">
        <v>251</v>
      </c>
      <c r="C12" s="112" t="s">
        <v>252</v>
      </c>
      <c r="D12" s="113"/>
    </row>
    <row r="13" spans="1:4" ht="25.5" customHeight="1" x14ac:dyDescent="0.2">
      <c r="A13" s="39" t="s">
        <v>253</v>
      </c>
      <c r="B13" s="111" t="s">
        <v>254</v>
      </c>
      <c r="C13" s="112" t="s">
        <v>255</v>
      </c>
      <c r="D13" s="113"/>
    </row>
    <row r="14" spans="1:4" ht="25.5" customHeight="1" x14ac:dyDescent="0.2">
      <c r="A14" s="39" t="s">
        <v>256</v>
      </c>
      <c r="B14" s="111" t="s">
        <v>257</v>
      </c>
      <c r="C14" s="112" t="s">
        <v>258</v>
      </c>
      <c r="D14" s="113"/>
    </row>
    <row r="15" spans="1:4" ht="9.75" customHeight="1" x14ac:dyDescent="0.2"/>
    <row r="16" spans="1:4" ht="21.75" customHeight="1" x14ac:dyDescent="0.2">
      <c r="A16" s="149" t="s">
        <v>259</v>
      </c>
      <c r="B16" s="149"/>
      <c r="C16" s="149"/>
      <c r="D16" s="149"/>
    </row>
    <row r="17" spans="1:4" ht="21.75" customHeight="1" x14ac:dyDescent="0.2">
      <c r="A17" s="128" t="s">
        <v>260</v>
      </c>
      <c r="B17" s="128"/>
      <c r="C17" s="36"/>
      <c r="D17" s="114"/>
    </row>
    <row r="18" spans="1:4" ht="21.75" customHeight="1" x14ac:dyDescent="0.2">
      <c r="A18" s="128" t="s">
        <v>261</v>
      </c>
      <c r="B18" s="128"/>
      <c r="C18" s="44"/>
      <c r="D18" s="114"/>
    </row>
    <row r="19" spans="1:4" ht="21.75" customHeight="1" x14ac:dyDescent="0.2">
      <c r="A19" s="128" t="s">
        <v>327</v>
      </c>
      <c r="B19" s="128"/>
      <c r="C19" s="15"/>
      <c r="D19" s="114"/>
    </row>
    <row r="20" spans="1:4" ht="21.75" customHeight="1" x14ac:dyDescent="0.2">
      <c r="A20" s="128" t="s">
        <v>328</v>
      </c>
      <c r="B20" s="128"/>
      <c r="C20" s="15"/>
      <c r="D20" s="114"/>
    </row>
    <row r="21" spans="1:4" ht="21.75" customHeight="1" x14ac:dyDescent="0.2">
      <c r="A21" s="137" t="s">
        <v>329</v>
      </c>
      <c r="B21" s="137"/>
      <c r="C21" s="115">
        <f>IFERROR(C20*1.25,"Въведете данни")</f>
        <v>0</v>
      </c>
      <c r="D21" s="116" t="s">
        <v>262</v>
      </c>
    </row>
  </sheetData>
  <mergeCells count="8">
    <mergeCell ref="A19:B19"/>
    <mergeCell ref="A20:B20"/>
    <mergeCell ref="A21:B21"/>
    <mergeCell ref="A1:D1"/>
    <mergeCell ref="A2:D2"/>
    <mergeCell ref="A16:D16"/>
    <mergeCell ref="A17:B17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showGridLines="0" tabSelected="1" zoomScaleNormal="100" workbookViewId="0">
      <selection sqref="A1:F1"/>
    </sheetView>
  </sheetViews>
  <sheetFormatPr baseColWidth="10" defaultColWidth="8.6640625" defaultRowHeight="15" x14ac:dyDescent="0.2"/>
  <cols>
    <col min="1" max="1" width="4" customWidth="1"/>
    <col min="2" max="2" width="36" customWidth="1"/>
    <col min="3" max="5" width="14" customWidth="1"/>
    <col min="6" max="6" width="16" customWidth="1"/>
  </cols>
  <sheetData>
    <row r="1" spans="1:6" ht="37.5" customHeight="1" x14ac:dyDescent="0.2">
      <c r="A1" s="14" t="s">
        <v>263</v>
      </c>
      <c r="B1" s="14"/>
      <c r="C1" s="14"/>
      <c r="D1" s="14"/>
      <c r="E1" s="14"/>
      <c r="F1" s="14"/>
    </row>
    <row r="2" spans="1:6" ht="18" customHeight="1" x14ac:dyDescent="0.2">
      <c r="A2" s="13" t="s">
        <v>264</v>
      </c>
      <c r="B2" s="13"/>
      <c r="C2" s="13"/>
      <c r="D2" s="13"/>
      <c r="E2" s="13"/>
      <c r="F2" s="13"/>
    </row>
    <row r="3" spans="1:6" ht="7.5" customHeight="1" x14ac:dyDescent="0.2"/>
    <row r="4" spans="1:6" ht="25.5" customHeight="1" x14ac:dyDescent="0.2">
      <c r="A4" s="41" t="s">
        <v>87</v>
      </c>
      <c r="B4" s="41" t="s">
        <v>265</v>
      </c>
      <c r="C4" s="41" t="s">
        <v>266</v>
      </c>
      <c r="D4" s="41" t="s">
        <v>267</v>
      </c>
      <c r="E4" s="41" t="s">
        <v>268</v>
      </c>
      <c r="F4" s="41" t="s">
        <v>269</v>
      </c>
    </row>
    <row r="5" spans="1:6" ht="19.5" customHeight="1" x14ac:dyDescent="0.2">
      <c r="A5" s="161" t="s">
        <v>270</v>
      </c>
      <c r="B5" s="117" t="s">
        <v>271</v>
      </c>
      <c r="C5" s="46" t="s">
        <v>46</v>
      </c>
      <c r="D5" s="44"/>
      <c r="E5" s="46" t="s">
        <v>211</v>
      </c>
      <c r="F5" s="113"/>
    </row>
    <row r="6" spans="1:6" ht="19.5" customHeight="1" x14ac:dyDescent="0.2">
      <c r="A6" s="161"/>
      <c r="B6" s="117" t="s">
        <v>272</v>
      </c>
      <c r="C6" s="46" t="s">
        <v>46</v>
      </c>
      <c r="D6" s="44"/>
      <c r="E6" s="46" t="s">
        <v>211</v>
      </c>
      <c r="F6" s="113"/>
    </row>
    <row r="7" spans="1:6" ht="19.5" customHeight="1" x14ac:dyDescent="0.2">
      <c r="A7" s="161"/>
      <c r="B7" s="117" t="s">
        <v>273</v>
      </c>
      <c r="C7" s="46" t="s">
        <v>46</v>
      </c>
      <c r="D7" s="44"/>
      <c r="E7" s="46" t="s">
        <v>211</v>
      </c>
      <c r="F7" s="113"/>
    </row>
    <row r="8" spans="1:6" ht="19.5" customHeight="1" x14ac:dyDescent="0.2">
      <c r="A8" s="161"/>
      <c r="B8" s="117" t="s">
        <v>274</v>
      </c>
      <c r="C8" s="46" t="s">
        <v>46</v>
      </c>
      <c r="D8" s="44"/>
      <c r="E8" s="46" t="s">
        <v>211</v>
      </c>
      <c r="F8" s="113"/>
    </row>
    <row r="9" spans="1:6" ht="6" customHeight="1" x14ac:dyDescent="0.2"/>
    <row r="10" spans="1:6" ht="19.5" customHeight="1" x14ac:dyDescent="0.2">
      <c r="A10" s="162" t="s">
        <v>275</v>
      </c>
      <c r="B10" s="118" t="s">
        <v>276</v>
      </c>
      <c r="C10" s="46" t="s">
        <v>46</v>
      </c>
      <c r="D10" s="44"/>
      <c r="E10" s="46" t="s">
        <v>211</v>
      </c>
      <c r="F10" s="113"/>
    </row>
    <row r="11" spans="1:6" ht="19.5" customHeight="1" x14ac:dyDescent="0.2">
      <c r="A11" s="162"/>
      <c r="B11" s="118" t="s">
        <v>277</v>
      </c>
      <c r="C11" s="46" t="s">
        <v>46</v>
      </c>
      <c r="D11" s="44"/>
      <c r="E11" s="46" t="s">
        <v>211</v>
      </c>
      <c r="F11" s="113"/>
    </row>
    <row r="12" spans="1:6" ht="19.5" customHeight="1" x14ac:dyDescent="0.2">
      <c r="A12" s="162"/>
      <c r="B12" s="118" t="s">
        <v>278</v>
      </c>
      <c r="C12" s="46" t="s">
        <v>46</v>
      </c>
      <c r="D12" s="44"/>
      <c r="E12" s="46" t="s">
        <v>211</v>
      </c>
      <c r="F12" s="113"/>
    </row>
    <row r="13" spans="1:6" ht="19.5" customHeight="1" x14ac:dyDescent="0.2">
      <c r="A13" s="162"/>
      <c r="B13" s="119" t="s">
        <v>279</v>
      </c>
      <c r="C13" s="46" t="s">
        <v>46</v>
      </c>
      <c r="D13" s="44"/>
      <c r="E13" s="46" t="s">
        <v>211</v>
      </c>
      <c r="F13" s="113"/>
    </row>
    <row r="14" spans="1:6" ht="6" customHeight="1" x14ac:dyDescent="0.2"/>
    <row r="15" spans="1:6" ht="19.5" customHeight="1" x14ac:dyDescent="0.2">
      <c r="A15" s="163" t="s">
        <v>280</v>
      </c>
      <c r="B15" s="53" t="s">
        <v>281</v>
      </c>
      <c r="C15" s="46" t="s">
        <v>46</v>
      </c>
      <c r="D15" s="44"/>
      <c r="E15" s="46" t="s">
        <v>211</v>
      </c>
      <c r="F15" s="113"/>
    </row>
    <row r="16" spans="1:6" ht="19.5" customHeight="1" x14ac:dyDescent="0.2">
      <c r="A16" s="163"/>
      <c r="B16" s="53" t="s">
        <v>282</v>
      </c>
      <c r="C16" s="46" t="s">
        <v>46</v>
      </c>
      <c r="D16" s="44"/>
      <c r="E16" s="46" t="s">
        <v>211</v>
      </c>
      <c r="F16" s="113"/>
    </row>
    <row r="17" spans="1:6" ht="19.5" customHeight="1" x14ac:dyDescent="0.2">
      <c r="A17" s="163"/>
      <c r="B17" s="53" t="s">
        <v>283</v>
      </c>
      <c r="C17" s="46" t="s">
        <v>46</v>
      </c>
      <c r="D17" s="44"/>
      <c r="E17" s="46" t="s">
        <v>211</v>
      </c>
      <c r="F17" s="113"/>
    </row>
    <row r="18" spans="1:6" ht="19.5" customHeight="1" x14ac:dyDescent="0.2">
      <c r="A18" s="163"/>
      <c r="B18" s="53" t="s">
        <v>284</v>
      </c>
      <c r="C18" s="46" t="s">
        <v>46</v>
      </c>
      <c r="D18" s="44"/>
      <c r="E18" s="46" t="s">
        <v>211</v>
      </c>
      <c r="F18" s="113"/>
    </row>
    <row r="19" spans="1:6" ht="6" customHeight="1" x14ac:dyDescent="0.2"/>
    <row r="20" spans="1:6" ht="19.5" customHeight="1" x14ac:dyDescent="0.2">
      <c r="A20" s="164" t="s">
        <v>285</v>
      </c>
      <c r="B20" s="120" t="s">
        <v>286</v>
      </c>
      <c r="C20" s="46" t="s">
        <v>46</v>
      </c>
      <c r="D20" s="44"/>
      <c r="E20" s="46" t="s">
        <v>211</v>
      </c>
      <c r="F20" s="113"/>
    </row>
    <row r="21" spans="1:6" ht="19.5" customHeight="1" x14ac:dyDescent="0.2">
      <c r="A21" s="164"/>
      <c r="B21" s="49" t="s">
        <v>287</v>
      </c>
      <c r="C21" s="46" t="s">
        <v>46</v>
      </c>
      <c r="D21" s="44"/>
      <c r="E21" s="46" t="s">
        <v>211</v>
      </c>
      <c r="F21" s="113"/>
    </row>
    <row r="22" spans="1:6" ht="19.5" customHeight="1" x14ac:dyDescent="0.2">
      <c r="A22" s="164"/>
      <c r="B22" s="49" t="s">
        <v>288</v>
      </c>
      <c r="C22" s="46" t="s">
        <v>46</v>
      </c>
      <c r="D22" s="44"/>
      <c r="E22" s="46" t="s">
        <v>211</v>
      </c>
      <c r="F22" s="113"/>
    </row>
    <row r="23" spans="1:6" ht="19.5" customHeight="1" x14ac:dyDescent="0.2">
      <c r="A23" s="164"/>
      <c r="B23" s="49" t="s">
        <v>289</v>
      </c>
      <c r="C23" s="46" t="s">
        <v>46</v>
      </c>
      <c r="D23" s="44"/>
      <c r="E23" s="46" t="s">
        <v>211</v>
      </c>
      <c r="F23" s="113"/>
    </row>
    <row r="24" spans="1:6" ht="6" customHeight="1" x14ac:dyDescent="0.2"/>
    <row r="25" spans="1:6" ht="19.5" customHeight="1" x14ac:dyDescent="0.2">
      <c r="A25" s="165" t="s">
        <v>290</v>
      </c>
      <c r="B25" s="51" t="s">
        <v>291</v>
      </c>
      <c r="C25" s="46" t="s">
        <v>46</v>
      </c>
      <c r="D25" s="44"/>
      <c r="E25" s="46" t="s">
        <v>211</v>
      </c>
      <c r="F25" s="113"/>
    </row>
    <row r="26" spans="1:6" ht="19.5" customHeight="1" x14ac:dyDescent="0.2">
      <c r="A26" s="165"/>
      <c r="B26" s="51" t="s">
        <v>292</v>
      </c>
      <c r="C26" s="46" t="s">
        <v>46</v>
      </c>
      <c r="D26" s="44"/>
      <c r="E26" s="46" t="s">
        <v>211</v>
      </c>
      <c r="F26" s="113"/>
    </row>
    <row r="27" spans="1:6" ht="19.5" customHeight="1" x14ac:dyDescent="0.2">
      <c r="A27" s="165"/>
      <c r="B27" s="51" t="s">
        <v>293</v>
      </c>
      <c r="C27" s="46" t="s">
        <v>46</v>
      </c>
      <c r="D27" s="44"/>
      <c r="E27" s="46" t="s">
        <v>211</v>
      </c>
      <c r="F27" s="113"/>
    </row>
    <row r="28" spans="1:6" ht="19.5" customHeight="1" x14ac:dyDescent="0.2">
      <c r="A28" s="165"/>
      <c r="B28" s="121" t="s">
        <v>294</v>
      </c>
      <c r="C28" s="46" t="s">
        <v>46</v>
      </c>
      <c r="D28" s="44"/>
      <c r="E28" s="46" t="s">
        <v>211</v>
      </c>
      <c r="F28" s="113"/>
    </row>
    <row r="29" spans="1:6" ht="6" customHeight="1" x14ac:dyDescent="0.2"/>
    <row r="30" spans="1:6" ht="19.5" customHeight="1" x14ac:dyDescent="0.2">
      <c r="A30" s="166" t="s">
        <v>295</v>
      </c>
      <c r="B30" s="117" t="s">
        <v>296</v>
      </c>
      <c r="C30" s="46" t="s">
        <v>46</v>
      </c>
      <c r="D30" s="44"/>
      <c r="E30" s="46" t="s">
        <v>211</v>
      </c>
      <c r="F30" s="113"/>
    </row>
    <row r="31" spans="1:6" ht="19.5" customHeight="1" x14ac:dyDescent="0.2">
      <c r="A31" s="166"/>
      <c r="B31" s="117" t="s">
        <v>297</v>
      </c>
      <c r="C31" s="46" t="s">
        <v>46</v>
      </c>
      <c r="D31" s="44"/>
      <c r="E31" s="46" t="s">
        <v>211</v>
      </c>
      <c r="F31" s="113"/>
    </row>
    <row r="32" spans="1:6" ht="19.5" customHeight="1" x14ac:dyDescent="0.2">
      <c r="A32" s="166"/>
      <c r="B32" s="117" t="s">
        <v>298</v>
      </c>
      <c r="C32" s="46" t="s">
        <v>46</v>
      </c>
      <c r="D32" s="44"/>
      <c r="E32" s="46" t="s">
        <v>211</v>
      </c>
      <c r="F32" s="113"/>
    </row>
    <row r="33" spans="1:6" ht="19.5" customHeight="1" x14ac:dyDescent="0.2">
      <c r="A33" s="166"/>
      <c r="B33" s="117" t="s">
        <v>299</v>
      </c>
      <c r="C33" s="46" t="s">
        <v>46</v>
      </c>
      <c r="D33" s="44"/>
      <c r="E33" s="46" t="s">
        <v>211</v>
      </c>
      <c r="F33" s="113"/>
    </row>
    <row r="34" spans="1:6" ht="6" customHeight="1" x14ac:dyDescent="0.2"/>
    <row r="35" spans="1:6" ht="25.5" customHeight="1" x14ac:dyDescent="0.2">
      <c r="A35" s="167" t="s">
        <v>300</v>
      </c>
      <c r="B35" s="167"/>
      <c r="C35" s="167"/>
      <c r="D35" s="168" t="str">
        <f>COUNTIF(C5:C34,"✅ Да")&amp;" / "&amp;COUNTA(B5:B34)&amp;" точки"</f>
        <v>0 / 24 точки</v>
      </c>
      <c r="E35" s="168"/>
      <c r="F35" s="168"/>
    </row>
  </sheetData>
  <mergeCells count="10">
    <mergeCell ref="A20:A23"/>
    <mergeCell ref="A25:A28"/>
    <mergeCell ref="A30:A33"/>
    <mergeCell ref="A35:C35"/>
    <mergeCell ref="D35:F35"/>
    <mergeCell ref="A1:F1"/>
    <mergeCell ref="A2:F2"/>
    <mergeCell ref="A5:A8"/>
    <mergeCell ref="A10:A13"/>
    <mergeCell ref="A15:A18"/>
  </mergeCells>
  <dataValidations count="2">
    <dataValidation type="list" allowBlank="1" sqref="C5:C35" xr:uid="{00000000-0002-0000-0700-000000000000}">
      <formula1>"✅ Да,❌ Не,⏳ Предстои,N/A"</formula1>
      <formula2>0</formula2>
    </dataValidation>
    <dataValidation type="list" allowBlank="1" sqref="E5:E35" xr:uid="{00000000-0002-0000-0700-000001000000}">
      <formula1>"Да,Не,N/A"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💰 Структура на бюджета</vt:lpstr>
      <vt:lpstr>📊 Бюджетна таблица</vt:lpstr>
      <vt:lpstr>💳 Схема на плащане</vt:lpstr>
      <vt:lpstr>📋 Анализ на оферти</vt:lpstr>
      <vt:lpstr>📈 ROI калкулатор</vt:lpstr>
      <vt:lpstr>🔍 Контрол и индикатори</vt:lpstr>
      <vt:lpstr>🏚️ Стар vs Нов имот</vt:lpstr>
      <vt:lpstr>✅ Фазов контрол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Teodor Boev</cp:lastModifiedBy>
  <cp:revision>0</cp:revision>
  <dcterms:created xsi:type="dcterms:W3CDTF">2026-04-17T08:32:01Z</dcterms:created>
  <dcterms:modified xsi:type="dcterms:W3CDTF">2026-04-20T07:13:37Z</dcterms:modified>
  <dc:language>en-US</dc:language>
</cp:coreProperties>
</file>