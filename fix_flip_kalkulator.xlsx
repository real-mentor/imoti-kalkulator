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🔨 АНАЛИЗ" sheetId="1" state="visible" r:id="rId1"/>
    <sheet xmlns:r="http://schemas.openxmlformats.org/officeDocument/2006/relationships" name="📊 СЦЕНАРИИ" sheetId="2" state="visible" r:id="rId2"/>
    <sheet xmlns:r="http://schemas.openxmlformats.org/officeDocument/2006/relationships" name="📖 НАРЪ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лв.&quot;"/>
    <numFmt numFmtId="165" formatCode="0.0&quot;%&quot;"/>
    <numFmt numFmtId="166" formatCode="0&quot;%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b val="1"/>
      <color rgb="001B4F72"/>
      <sz val="9"/>
    </font>
    <font>
      <name val="Arial"/>
      <color rgb="002980B9"/>
      <sz val="10"/>
    </font>
    <font>
      <name val="Arial"/>
      <color rgb="001A1A1A"/>
      <sz val="9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E67E22"/>
      <sz val="10"/>
    </font>
    <font>
      <name val="Arial"/>
      <b val="1"/>
      <color rgb="0027AE60"/>
      <sz val="10"/>
    </font>
    <font>
      <name val="Arial"/>
      <b val="1"/>
      <color rgb="001B4F72"/>
      <sz val="11"/>
    </font>
    <font>
      <name val="Arial"/>
      <b val="1"/>
      <color rgb="001A1A1A"/>
      <sz val="10"/>
    </font>
    <font>
      <name val="Arial"/>
      <b val="1"/>
      <color rgb="00FFFFFF"/>
      <sz val="13"/>
    </font>
    <font>
      <name val="Arial"/>
      <color rgb="00C0392B"/>
      <sz val="10"/>
    </font>
    <font>
      <name val="Arial"/>
      <b val="1"/>
      <color rgb="00FFFFFF"/>
      <sz val="15"/>
    </font>
    <font>
      <name val="Arial"/>
      <b val="1"/>
      <color rgb="001B4F72"/>
      <sz val="12"/>
    </font>
    <font>
      <name val="Arial"/>
      <b val="1"/>
      <color rgb="008E44AD"/>
      <sz val="11"/>
    </font>
    <font>
      <name val="Arial"/>
      <b val="1"/>
      <color rgb="002980B9"/>
      <sz val="11"/>
    </font>
    <font>
      <name val="Arial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8FBFF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7F8C8D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FAFAFA"/>
      </patternFill>
    </fill>
    <fill>
      <patternFill patternType="solid">
        <fgColor rgb="00D6EAF8"/>
      </patternFill>
    </fill>
    <fill>
      <patternFill patternType="solid">
        <fgColor rgb="001ABC9C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C0392B"/>
      </patternFill>
    </fill>
    <fill>
      <patternFill patternType="solid">
        <fgColor rgb="00F39C12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10" fillId="12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164" fontId="11" fillId="1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164" fontId="13" fillId="15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164" fontId="15" fillId="11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165" fontId="16" fillId="17" borderId="1" applyAlignment="1" pivotButton="0" quotePrefix="0" xfId="0">
      <alignment horizontal="center" vertical="center"/>
    </xf>
    <xf numFmtId="165" fontId="17" fillId="18" borderId="1" applyAlignment="1" pivotButton="0" quotePrefix="0" xfId="0">
      <alignment horizontal="center" vertical="center"/>
    </xf>
    <xf numFmtId="165" fontId="18" fillId="14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4" pivotButton="0" quotePrefix="0" xfId="0"/>
    <xf numFmtId="0" fontId="0" fillId="11" borderId="1" pivotButton="0" quotePrefix="0" xfId="0"/>
    <xf numFmtId="0" fontId="3" fillId="11" borderId="1" applyAlignment="1" pivotButton="0" quotePrefix="0" xfId="0">
      <alignment horizontal="left" vertical="center"/>
    </xf>
    <xf numFmtId="164" fontId="8" fillId="19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left" vertical="center"/>
    </xf>
    <xf numFmtId="0" fontId="8" fillId="19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4" customWidth="1" min="4" max="4"/>
    <col width="28" customWidth="1" min="5" max="5"/>
    <col width="16" customWidth="1" min="6" max="6"/>
    <col width="4" customWidth="1" min="7" max="7"/>
    <col width="22" customWidth="1" min="8" max="8"/>
    <col width="16" customWidth="1" min="9" max="9"/>
    <col width="4" customWidth="1" min="10" max="10"/>
    <col width="22" customWidth="1" min="11" max="11"/>
    <col width="16" customWidth="1" min="12" max="12"/>
    <col width="4" customWidth="1" min="13" max="13"/>
  </cols>
  <sheetData>
    <row r="1" ht="44" customHeight="1">
      <c r="A1" s="1" t="inlineStr">
        <is>
          <t>🔨  FIX &amp; FLIP — КАЛКУЛАТОР ЗА БЪРЗ АНАЛИЗ НА ОФЕРТА</t>
        </is>
      </c>
    </row>
    <row r="2" ht="18" customHeight="1">
      <c r="A2" s="2" t="inlineStr">
        <is>
          <t>Попълни СИНИТЕ полета → всички резултати се изчисляват автоматично</t>
        </is>
      </c>
    </row>
    <row r="3" ht="6" customHeight="1"/>
    <row r="4" ht="22" customHeight="1">
      <c r="A4" s="3" t="inlineStr">
        <is>
          <t xml:space="preserve">  А. ДАННИ ЗА ИМОТА</t>
        </is>
      </c>
      <c r="D4" s="3" t="inlineStr">
        <is>
          <t xml:space="preserve">  </t>
        </is>
      </c>
    </row>
    <row r="5" ht="22" customHeight="1">
      <c r="B5" s="4" t="inlineStr">
        <is>
          <t>Адрес / локация</t>
        </is>
      </c>
      <c r="C5" s="5" t="n"/>
      <c r="E5" s="6" t="inlineStr">
        <is>
          <t xml:space="preserve">  Г. РАЗХОДИ ЗА РЕМОНТ</t>
        </is>
      </c>
      <c r="H5" s="7" t="inlineStr">
        <is>
          <t xml:space="preserve">  Е. ПРОДАЖБА</t>
        </is>
      </c>
    </row>
    <row r="6" ht="18" customHeight="1">
      <c r="B6" s="4" t="inlineStr">
        <is>
          <t>Площ (m²)</t>
        </is>
      </c>
      <c r="C6" s="8" t="n"/>
      <c r="E6" s="4" t="inlineStr">
        <is>
          <t>Събаряне / демонтаж</t>
        </is>
      </c>
      <c r="F6" s="9" t="n"/>
      <c r="H6" s="4" t="inlineStr">
        <is>
          <t>ARV — Пазарна стойност след ремонт (лв.)</t>
        </is>
      </c>
      <c r="I6" s="9" t="n"/>
    </row>
    <row r="7" ht="18" customHeight="1">
      <c r="B7" s="4" t="inlineStr">
        <is>
          <t>Етаж</t>
        </is>
      </c>
      <c r="C7" s="5" t="n"/>
      <c r="E7" s="4" t="inlineStr">
        <is>
          <t>Ел. инсталация</t>
        </is>
      </c>
      <c r="F7" s="9" t="n"/>
      <c r="H7" s="10" t="inlineStr">
        <is>
          <t>70% правило → max покупна цена (лв.)</t>
        </is>
      </c>
      <c r="I7" s="11">
        <f>IF(I6&gt;0,I6*0.7-F22,"")</f>
        <v/>
      </c>
    </row>
    <row r="8" ht="18" customHeight="1">
      <c r="B8" s="4" t="inlineStr">
        <is>
          <t>Тип имот</t>
        </is>
      </c>
      <c r="C8" s="5" t="n"/>
      <c r="E8" s="4" t="inlineStr">
        <is>
          <t>ВиК инсталация</t>
        </is>
      </c>
      <c r="F8" s="9" t="n"/>
      <c r="H8" s="4" t="inlineStr">
        <is>
          <t>Планирана продажна цена (лв.)</t>
        </is>
      </c>
      <c r="I8" s="9" t="n"/>
    </row>
    <row r="9" ht="18" customHeight="1">
      <c r="B9" s="4" t="inlineStr">
        <is>
          <t>Година на строеж</t>
        </is>
      </c>
      <c r="C9" s="8" t="n"/>
      <c r="E9" s="4" t="inlineStr">
        <is>
          <t>Подово отопление</t>
        </is>
      </c>
      <c r="F9" s="9" t="n"/>
      <c r="H9" s="4" t="inlineStr">
        <is>
          <t>Брокерска ком. продажба %</t>
        </is>
      </c>
      <c r="I9" s="12" t="n">
        <v>3</v>
      </c>
    </row>
    <row r="10" ht="18" customHeight="1">
      <c r="B10" s="4" t="inlineStr">
        <is>
          <t>Актуално състояние</t>
        </is>
      </c>
      <c r="C10" s="5" t="n"/>
      <c r="E10" s="4" t="inlineStr">
        <is>
          <t>Мазилки / шпакловане</t>
        </is>
      </c>
      <c r="F10" s="9" t="n"/>
      <c r="H10" s="13" t="inlineStr">
        <is>
          <t xml:space="preserve">       → Ком. продажба (лв.)</t>
        </is>
      </c>
      <c r="I10" s="14">
        <f>IF(I8&gt;0,I8*I9/100,"")</f>
        <v/>
      </c>
    </row>
    <row r="11" ht="18" customHeight="1">
      <c r="B11" s="4" t="inlineStr">
        <is>
          <t>Клас на района (1-10)</t>
        </is>
      </c>
      <c r="C11" s="8" t="n"/>
      <c r="E11" s="4" t="inlineStr">
        <is>
          <t>Плочки / настилки</t>
        </is>
      </c>
      <c r="F11" s="9" t="n"/>
      <c r="H11" s="4" t="inlineStr">
        <is>
          <t>Нотариус + такси продажба (лв.)</t>
        </is>
      </c>
      <c r="I11" s="9" t="n"/>
    </row>
    <row r="12" ht="18" customHeight="1">
      <c r="E12" s="4" t="inlineStr">
        <is>
          <t>Боя</t>
        </is>
      </c>
      <c r="F12" s="9" t="n"/>
      <c r="H12" s="4" t="inlineStr">
        <is>
          <t>Данък върху печалбата %</t>
        </is>
      </c>
      <c r="I12" s="12" t="n">
        <v>10</v>
      </c>
    </row>
    <row r="13" ht="18" customHeight="1">
      <c r="A13" s="15" t="inlineStr">
        <is>
          <t xml:space="preserve">  Б. ПРИДОБИВАНЕ</t>
        </is>
      </c>
      <c r="E13" s="4" t="inlineStr">
        <is>
          <t>Врати / дограма</t>
        </is>
      </c>
      <c r="F13" s="9" t="n"/>
      <c r="H13" s="4" t="inlineStr">
        <is>
          <t>Стейджинг / фотография (лв.)</t>
        </is>
      </c>
      <c r="I13" s="9" t="n"/>
    </row>
    <row r="14" ht="6" customHeight="1">
      <c r="B14" s="4" t="inlineStr">
        <is>
          <t>Искана цена (лв.)</t>
        </is>
      </c>
      <c r="C14" s="9" t="n"/>
      <c r="E14" s="4" t="inlineStr">
        <is>
          <t>Баня / WC завършване</t>
        </is>
      </c>
      <c r="F14" s="9" t="n"/>
    </row>
    <row r="15" ht="24" customHeight="1">
      <c r="B15" s="4" t="inlineStr">
        <is>
          <t>Целева покупна цена (лв.)</t>
        </is>
      </c>
      <c r="C15" s="9" t="n"/>
      <c r="E15" s="4" t="inlineStr">
        <is>
          <t>Кухня</t>
        </is>
      </c>
      <c r="F15" s="9" t="n"/>
      <c r="H15" s="3" t="inlineStr">
        <is>
          <t xml:space="preserve">  ФИНАЛЕН РЕЗУЛТАТ</t>
        </is>
      </c>
    </row>
    <row r="16" ht="20" customHeight="1">
      <c r="B16" s="4" t="inlineStr">
        <is>
          <t>Нотариални такси (лв.)</t>
        </is>
      </c>
      <c r="C16" s="9" t="n"/>
      <c r="E16" s="4" t="inlineStr">
        <is>
          <t>Осветление</t>
        </is>
      </c>
      <c r="F16" s="9" t="n"/>
      <c r="H16" s="4" t="inlineStr">
        <is>
          <t>Общо инвестирано (лв.)</t>
        </is>
      </c>
      <c r="I16" s="16">
        <f>SUM(C22,F22,F36,C29,C30)</f>
        <v/>
      </c>
    </row>
    <row r="17" ht="18" customHeight="1">
      <c r="B17" s="4" t="inlineStr">
        <is>
          <t>Местен данък прехвърляне %</t>
        </is>
      </c>
      <c r="C17" s="12" t="n">
        <v>2.5</v>
      </c>
      <c r="E17" s="4" t="inlineStr">
        <is>
          <t>Климатик / отопление</t>
        </is>
      </c>
      <c r="F17" s="9" t="n"/>
      <c r="H17" s="4" t="inlineStr">
        <is>
          <t>Разходи по продажба (лв.)</t>
        </is>
      </c>
      <c r="I17" s="17">
        <f>SUM(I10,I11,I13)</f>
        <v/>
      </c>
    </row>
    <row r="18" ht="6" customHeight="1">
      <c r="B18" s="18" t="inlineStr">
        <is>
          <t xml:space="preserve">       → Данък прехвърляне (лв.)</t>
        </is>
      </c>
      <c r="C18" s="14">
        <f>IF(C15&gt;0,C15*C17/100,"")</f>
        <v/>
      </c>
      <c r="E18" s="4" t="inlineStr">
        <is>
          <t>Обзавеждане (ако е вкл.)</t>
        </is>
      </c>
      <c r="F18" s="9" t="n"/>
    </row>
    <row r="19" ht="26" customHeight="1">
      <c r="B19" s="4" t="inlineStr">
        <is>
          <t>Брокерска комисионна купувач %</t>
        </is>
      </c>
      <c r="C19" s="12" t="n">
        <v>3</v>
      </c>
      <c r="E19" s="18" t="inlineStr">
        <is>
          <t xml:space="preserve">    Непредвидени разходи %</t>
        </is>
      </c>
      <c r="F19" s="19" t="n">
        <v>15</v>
      </c>
      <c r="H19" s="20" t="inlineStr">
        <is>
          <t>БРУТНА ПЕЧАЛБА (лв.)</t>
        </is>
      </c>
      <c r="I19" s="21">
        <f>I8-I16-I17</f>
        <v/>
      </c>
    </row>
    <row r="20" ht="18" customHeight="1">
      <c r="B20" s="18" t="inlineStr">
        <is>
          <t xml:space="preserve">       → Брокерска ком. купувач (лв.)</t>
        </is>
      </c>
      <c r="C20" s="14">
        <f>IF(C15&gt;0,C15*C19/100,"")</f>
        <v/>
      </c>
      <c r="E20" s="4" t="inlineStr">
        <is>
          <t>Ремонт преди буфер</t>
        </is>
      </c>
      <c r="F20" s="22">
        <f>SUM(F6:F18)</f>
        <v/>
      </c>
      <c r="H20" s="18" t="inlineStr">
        <is>
          <t xml:space="preserve">       → Данък върху печалбата (лв.)</t>
        </is>
      </c>
      <c r="I20" s="23">
        <f>IF(I19&gt;0,I19*I12/100,0)</f>
        <v/>
      </c>
    </row>
    <row r="21" ht="6" customHeight="1">
      <c r="B21" s="4" t="inlineStr">
        <is>
          <t>Оценка / Инспекция (лв.)</t>
        </is>
      </c>
      <c r="C21" s="9" t="n">
        <v>300</v>
      </c>
      <c r="E21" s="18" t="inlineStr">
        <is>
          <t xml:space="preserve">       → Непредвидени (лв.)</t>
        </is>
      </c>
      <c r="F21" s="14">
        <f>F20*F19/100</f>
        <v/>
      </c>
    </row>
    <row r="22" ht="32" customHeight="1">
      <c r="B22" s="24" t="inlineStr">
        <is>
          <t>ОБЩО ПРИДОБИВАНЕ (лв.)</t>
        </is>
      </c>
      <c r="C22" s="25">
        <f>SUM(C15,C16,C18,C20,C21)</f>
        <v/>
      </c>
      <c r="E22" s="26" t="inlineStr">
        <is>
          <t>ОБЩО РЕМОНТ (лв.)</t>
        </is>
      </c>
      <c r="F22" s="27">
        <f>F20+F21</f>
        <v/>
      </c>
      <c r="H22" s="28" t="inlineStr">
        <is>
          <t>НЕТНА ПЕЧАЛБА (лв.)  ★</t>
        </is>
      </c>
      <c r="I22" s="29">
        <f>I19-I20</f>
        <v/>
      </c>
    </row>
    <row r="23" ht="6" customHeight="1"/>
    <row r="24" ht="22" customHeight="1">
      <c r="A24" s="30" t="inlineStr">
        <is>
          <t xml:space="preserve">  В. ФИНАНСИРАНЕ</t>
        </is>
      </c>
      <c r="E24" s="31" t="inlineStr">
        <is>
          <t xml:space="preserve">  Д. РАЗХОДИ ЗА ДЪРЖАНЕ</t>
        </is>
      </c>
      <c r="H24" s="4" t="inlineStr">
        <is>
          <t>ROI % (върху вложения капитал)</t>
        </is>
      </c>
      <c r="I24" s="32">
        <f>IF(I16&gt;0,I22/I16*100,"")</f>
        <v/>
      </c>
    </row>
    <row r="25" ht="20" customHeight="1">
      <c r="B25" s="4" t="inlineStr">
        <is>
          <t>Собствен капитал (лв.)</t>
        </is>
      </c>
      <c r="C25" s="9" t="n"/>
      <c r="E25" s="4" t="inlineStr">
        <is>
          <t>Месеци до продажба</t>
        </is>
      </c>
      <c r="F25" s="8" t="n">
        <v>6</v>
      </c>
      <c r="H25" s="4" t="inlineStr">
        <is>
          <t>Годишен ROI % (анюализиран)</t>
        </is>
      </c>
      <c r="I25" s="33">
        <f>IF(AND(I16&gt;0,F25&gt;0),I24/((F25+2)/12),"")</f>
        <v/>
      </c>
    </row>
    <row r="26" ht="20" customHeight="1">
      <c r="B26" s="4" t="inlineStr">
        <is>
          <t>Кредит / Заем (лв.)</t>
        </is>
      </c>
      <c r="C26" s="9" t="n"/>
      <c r="E26" s="4" t="inlineStr">
        <is>
          <t>Данък имот (лв./год.)</t>
        </is>
      </c>
      <c r="F26" s="9" t="n"/>
      <c r="H26" s="4" t="inlineStr">
        <is>
          <t>Марж % (печалба / продажна цена)</t>
        </is>
      </c>
      <c r="I26" s="34">
        <f>IF(I8&gt;0,I22/I8*100,"")</f>
        <v/>
      </c>
    </row>
    <row r="27" ht="6" customHeight="1">
      <c r="B27" s="4" t="inlineStr">
        <is>
          <t>Лихвен процент годишен %</t>
        </is>
      </c>
      <c r="C27" s="12" t="n">
        <v>8</v>
      </c>
      <c r="E27" s="18" t="inlineStr">
        <is>
          <t xml:space="preserve">       → Данък за периода (лв.)</t>
        </is>
      </c>
      <c r="F27" s="14">
        <f>IF(F25&gt;0,F26*F25/12,"")</f>
        <v/>
      </c>
    </row>
    <row r="28" ht="28" customHeight="1">
      <c r="B28" s="4" t="inlineStr">
        <is>
          <t>Срок на кредита (месеци)</t>
        </is>
      </c>
      <c r="C28" s="8" t="n">
        <v>12</v>
      </c>
      <c r="E28" s="4" t="inlineStr">
        <is>
          <t>Режийни (ток/вода) лв./мес</t>
        </is>
      </c>
      <c r="F28" s="9" t="n">
        <v>100</v>
      </c>
      <c r="H28" s="35" t="inlineStr">
        <is>
          <t>ПРИСЪДА:</t>
        </is>
      </c>
      <c r="I28" s="36">
        <f>IF(I22="","Въведи данни",IF(I22&lt;0,"❌ НЕ — ГУБИШ",IF(I24&lt;15,"⚠️ МАРГИНАЛНА",IF(I24&lt;25,"✅ ДОБРА СДЕЛКА","🚀 ОТЛИЧНА СДЕЛКА"))))</f>
        <v/>
      </c>
    </row>
    <row r="29" ht="8" customHeight="1">
      <c r="B29" s="18" t="inlineStr">
        <is>
          <t xml:space="preserve">       → Лихва за периода (лв.)</t>
        </is>
      </c>
      <c r="C29" s="14">
        <f>IF(C26&gt;0,C26*C27/100*C28/12,"")</f>
        <v/>
      </c>
      <c r="E29" s="18" t="inlineStr">
        <is>
          <t xml:space="preserve">       → Режийни за периода</t>
        </is>
      </c>
      <c r="F29" s="14">
        <f>F28*F25</f>
        <v/>
      </c>
    </row>
    <row r="30" ht="22" customHeight="1">
      <c r="B30" s="4" t="inlineStr">
        <is>
          <t>Такси по кредита (лв.)</t>
        </is>
      </c>
      <c r="C30" s="9" t="n"/>
      <c r="E30" s="4" t="inlineStr">
        <is>
          <t>Охрана / СОТ лв./мес</t>
        </is>
      </c>
      <c r="F30" s="9" t="n"/>
      <c r="H30" s="15" t="inlineStr">
        <is>
          <t xml:space="preserve">  РАЗБИВКА НА РАЗХОДИТЕ</t>
        </is>
      </c>
    </row>
    <row r="31" ht="17" customHeight="1">
      <c r="E31" s="18" t="inlineStr">
        <is>
          <t xml:space="preserve">       → Охрана за периода</t>
        </is>
      </c>
      <c r="F31" s="14">
        <f>IF(F30&gt;0,F30*F25,"")</f>
        <v/>
      </c>
      <c r="H31" s="4" t="inlineStr">
        <is>
          <t>Покупка + такси</t>
        </is>
      </c>
      <c r="I31" s="37">
        <f>C22</f>
        <v/>
      </c>
    </row>
    <row r="32" ht="17" customHeight="1">
      <c r="E32" s="4" t="inlineStr">
        <is>
          <t>Застраховка (лв./год.)</t>
        </is>
      </c>
      <c r="F32" s="9" t="n"/>
      <c r="H32" s="4" t="inlineStr">
        <is>
          <t>Ремонт</t>
        </is>
      </c>
      <c r="I32" s="37">
        <f>F22</f>
        <v/>
      </c>
    </row>
    <row r="33" ht="17" customHeight="1">
      <c r="E33" s="18" t="inlineStr">
        <is>
          <t xml:space="preserve">       → Застр. за периода</t>
        </is>
      </c>
      <c r="F33" s="14">
        <f>IF(F32&gt;0,F32*F25/12,"")</f>
        <v/>
      </c>
      <c r="H33" s="4" t="inlineStr">
        <is>
          <t>Финансиране</t>
        </is>
      </c>
      <c r="I33" s="37">
        <f>SUM(C29,C30)</f>
        <v/>
      </c>
    </row>
    <row r="34" ht="17" customHeight="1">
      <c r="E34" s="4" t="inlineStr">
        <is>
          <t>Такса Етажна собственост/мес</t>
        </is>
      </c>
      <c r="F34" s="9" t="n"/>
      <c r="H34" s="4" t="inlineStr">
        <is>
          <t>Държане</t>
        </is>
      </c>
      <c r="I34" s="37">
        <f>F36</f>
        <v/>
      </c>
    </row>
    <row r="35" ht="17" customHeight="1">
      <c r="E35" s="18" t="inlineStr">
        <is>
          <t xml:space="preserve">       → ЕС за периода</t>
        </is>
      </c>
      <c r="F35" s="14">
        <f>IF(F34&gt;0,F34*F25,"")</f>
        <v/>
      </c>
      <c r="H35" s="4" t="inlineStr">
        <is>
          <t>Продажба</t>
        </is>
      </c>
      <c r="I35" s="37">
        <f>I17</f>
        <v/>
      </c>
    </row>
    <row r="36" ht="22" customHeight="1">
      <c r="E36" s="38" t="inlineStr">
        <is>
          <t>ОБЩО ДЪРЖАНЕ (лв.)</t>
        </is>
      </c>
      <c r="F36" s="39">
        <f>SUM(F27,F29,F31,F33,F35)</f>
        <v/>
      </c>
    </row>
    <row r="37" ht="6" customHeight="1"/>
  </sheetData>
  <mergeCells count="12">
    <mergeCell ref="D4"/>
    <mergeCell ref="A13:C13"/>
    <mergeCell ref="A1:M1"/>
    <mergeCell ref="E24:F24"/>
    <mergeCell ref="H15:I15"/>
    <mergeCell ref="E5:F5"/>
    <mergeCell ref="B22"/>
    <mergeCell ref="H5:I5"/>
    <mergeCell ref="A4:C4"/>
    <mergeCell ref="A2:M2"/>
    <mergeCell ref="A24:C24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4" customWidth="1" min="4" max="4"/>
    <col width="16" customWidth="1" min="5" max="5"/>
    <col width="4" customWidth="1" min="6" max="6"/>
    <col width="16" customWidth="1" min="7" max="7"/>
    <col width="4" customWidth="1" min="8" max="8"/>
    <col width="16" customWidth="1" min="9" max="9"/>
    <col width="4" customWidth="1" min="10" max="10"/>
    <col width="16" customWidth="1" min="11" max="11"/>
    <col width="4" customWidth="1" min="12" max="12"/>
    <col width="16" customWidth="1" min="13" max="13"/>
    <col width="4" customWidth="1" min="14" max="14"/>
    <col width="4" customWidth="1" min="15" max="15"/>
  </cols>
  <sheetData>
    <row r="1" ht="40" customHeight="1">
      <c r="A1" s="1" t="inlineStr">
        <is>
          <t>📊  СРАВНЕНИЕ НА СЦЕНАРИИ — ПЕСИМИСТ / РЕАЛИСТ / ОПТИМИСТ</t>
        </is>
      </c>
    </row>
    <row r="2" ht="18" customHeight="1">
      <c r="A2" s="2" t="inlineStr">
        <is>
          <t>Въведи 3 варианта — виж кой дава достатъчна печалба дори при лош сценарий</t>
        </is>
      </c>
    </row>
    <row r="3" ht="6" customHeight="1"/>
    <row r="4" ht="26" customHeight="1">
      <c r="A4" s="3" t="inlineStr">
        <is>
          <t xml:space="preserve">  ПАРАМЕТЪР</t>
        </is>
      </c>
      <c r="C4" s="40" t="inlineStr">
        <is>
          <t>ПЕСИМИСТ</t>
        </is>
      </c>
      <c r="E4" s="41" t="inlineStr">
        <is>
          <t>РЕАЛИСТ</t>
        </is>
      </c>
      <c r="G4" s="42" t="inlineStr">
        <is>
          <t>ОПТИМИСТ</t>
        </is>
      </c>
    </row>
    <row r="5" ht="18" customHeight="1">
      <c r="A5" s="43" t="n"/>
      <c r="B5" s="4" t="inlineStr">
        <is>
          <t>Покупна цена (лв.)</t>
        </is>
      </c>
      <c r="C5" s="9" t="n"/>
      <c r="D5" s="44" t="n"/>
      <c r="E5" s="9" t="n"/>
      <c r="F5" s="44" t="n"/>
      <c r="G5" s="9" t="n"/>
      <c r="H5" s="44" t="n"/>
    </row>
    <row r="6" ht="18" customHeight="1">
      <c r="A6" s="43" t="n"/>
      <c r="B6" s="4" t="inlineStr">
        <is>
          <t>Ремонт (лв.)</t>
        </is>
      </c>
      <c r="C6" s="9" t="n"/>
      <c r="D6" s="44" t="n"/>
      <c r="E6" s="9" t="n"/>
      <c r="F6" s="44" t="n"/>
      <c r="G6" s="9" t="n"/>
      <c r="H6" s="44" t="n"/>
    </row>
    <row r="7" ht="18" customHeight="1">
      <c r="A7" s="43" t="n"/>
      <c r="B7" s="4" t="inlineStr">
        <is>
          <t>Продажна цена / ARV (лв.)</t>
        </is>
      </c>
      <c r="C7" s="9" t="n"/>
      <c r="D7" s="44" t="n"/>
      <c r="E7" s="9" t="n"/>
      <c r="F7" s="44" t="n"/>
      <c r="G7" s="9" t="n"/>
      <c r="H7" s="44" t="n"/>
    </row>
    <row r="8" ht="18" customHeight="1">
      <c r="A8" s="43" t="n"/>
      <c r="B8" s="4" t="inlineStr">
        <is>
          <t>Месеци до продажба</t>
        </is>
      </c>
      <c r="C8" s="9" t="n"/>
      <c r="D8" s="44" t="n"/>
      <c r="E8" s="9" t="n"/>
      <c r="F8" s="44" t="n"/>
      <c r="G8" s="9" t="n"/>
      <c r="H8" s="44" t="n"/>
    </row>
    <row r="9" ht="18" customHeight="1">
      <c r="A9" s="43" t="n"/>
      <c r="B9" s="4" t="inlineStr">
        <is>
          <t>Такси придобиване (лв.)</t>
        </is>
      </c>
      <c r="C9" s="9" t="n"/>
      <c r="D9" s="44" t="n"/>
      <c r="E9" s="9" t="n"/>
      <c r="F9" s="44" t="n"/>
      <c r="G9" s="9" t="n"/>
      <c r="H9" s="44" t="n"/>
    </row>
    <row r="10" ht="18" customHeight="1">
      <c r="A10" s="43" t="n"/>
      <c r="B10" s="4" t="inlineStr">
        <is>
          <t>Лихви по кредит (лв.)</t>
        </is>
      </c>
      <c r="C10" s="9" t="n"/>
      <c r="D10" s="44" t="n"/>
      <c r="E10" s="9" t="n"/>
      <c r="F10" s="44" t="n"/>
      <c r="G10" s="9" t="n"/>
      <c r="H10" s="44" t="n"/>
    </row>
    <row r="11" ht="18" customHeight="1">
      <c r="A11" s="43" t="n"/>
      <c r="B11" s="4" t="inlineStr">
        <is>
          <t>Разходи за държане (лв.)</t>
        </is>
      </c>
      <c r="C11" s="9" t="n"/>
      <c r="D11" s="44" t="n"/>
      <c r="E11" s="9" t="n"/>
      <c r="F11" s="44" t="n"/>
      <c r="G11" s="9" t="n"/>
      <c r="H11" s="44" t="n"/>
    </row>
    <row r="12" ht="18" customHeight="1">
      <c r="A12" s="43" t="n"/>
      <c r="B12" s="4" t="inlineStr">
        <is>
          <t>Разходи по продажба (лв.)</t>
        </is>
      </c>
      <c r="C12" s="9" t="n"/>
      <c r="D12" s="44" t="n"/>
      <c r="E12" s="9" t="n"/>
      <c r="F12" s="44" t="n"/>
      <c r="G12" s="9" t="n"/>
      <c r="H12" s="44" t="n"/>
    </row>
    <row r="13" ht="6" customHeight="1"/>
    <row r="14" ht="18" customHeight="1">
      <c r="A14" s="43" t="n"/>
      <c r="B14" s="4" t="inlineStr">
        <is>
          <t>Общо инвестирано (лв.)</t>
        </is>
      </c>
      <c r="C14" s="14">
        <f>SUM(C5,C6,C9,C10,C11)</f>
        <v/>
      </c>
      <c r="E14" s="14">
        <f>SUM(E5,E6,E9,E10,E11)</f>
        <v/>
      </c>
      <c r="G14" s="14">
        <f>SUM(G5,G6,G9,G10,G11)</f>
        <v/>
      </c>
    </row>
    <row r="15" ht="18" customHeight="1">
      <c r="A15" s="43" t="n"/>
      <c r="B15" s="4" t="inlineStr">
        <is>
          <t>Брутна печалба (лв.)</t>
        </is>
      </c>
      <c r="C15" s="14">
        <f>C7-C14-C12</f>
        <v/>
      </c>
      <c r="E15" s="14">
        <f>E7-E14-E12</f>
        <v/>
      </c>
      <c r="G15" s="14">
        <f>G7-G14-G12</f>
        <v/>
      </c>
    </row>
    <row r="16" ht="18" customHeight="1">
      <c r="A16" s="43" t="n"/>
      <c r="B16" s="4" t="inlineStr">
        <is>
          <t>Данък 10% (лв.)</t>
        </is>
      </c>
      <c r="C16" s="14">
        <f>IF(C15&gt;0,C15*0.1,0)</f>
        <v/>
      </c>
      <c r="E16" s="14">
        <f>IF(E15&gt;0,E15*0.1,0)</f>
        <v/>
      </c>
      <c r="G16" s="14">
        <f>IF(G15&gt;0,G15*0.1,0)</f>
        <v/>
      </c>
    </row>
    <row r="17" ht="22" customHeight="1">
      <c r="A17" s="45" t="n"/>
      <c r="B17" s="46" t="inlineStr">
        <is>
          <t>НЕТНА ПЕЧАЛБА (лв.)</t>
        </is>
      </c>
      <c r="C17" s="47">
        <f>C15-C16</f>
        <v/>
      </c>
      <c r="E17" s="25">
        <f>E15-E16</f>
        <v/>
      </c>
      <c r="G17" s="48">
        <f>G15-G16</f>
        <v/>
      </c>
    </row>
    <row r="18" ht="18" customHeight="1">
      <c r="A18" s="43" t="n"/>
      <c r="B18" s="4" t="inlineStr">
        <is>
          <t>ROI %</t>
        </is>
      </c>
      <c r="C18" s="49">
        <f>IF(C14&gt;0,C17/C14*100,"")</f>
        <v/>
      </c>
      <c r="E18" s="49">
        <f>IF(E14&gt;0,E17/E14*100,"")</f>
        <v/>
      </c>
      <c r="G18" s="49">
        <f>IF(G14&gt;0,G17/G14*100,"")</f>
        <v/>
      </c>
    </row>
    <row r="19" ht="18" customHeight="1">
      <c r="A19" s="43" t="n"/>
      <c r="B19" s="4" t="inlineStr">
        <is>
          <t>Марж %</t>
        </is>
      </c>
      <c r="C19" s="49">
        <f>IF(C7&gt;0,C17/C7*100,"")</f>
        <v/>
      </c>
      <c r="E19" s="49">
        <f>IF(E7&gt;0,E17/E7*100,"")</f>
        <v/>
      </c>
      <c r="G19" s="49">
        <f>IF(G7&gt;0,G17/G7*100,"")</f>
        <v/>
      </c>
    </row>
    <row r="20" ht="22" customHeight="1">
      <c r="A20" s="50" t="n"/>
      <c r="B20" s="51" t="inlineStr">
        <is>
          <t>ПРИСЪДА</t>
        </is>
      </c>
      <c r="C20" s="52">
        <f>IF(C17="","?",IF(C17&lt;0,"❌ НЕ",IF(C18&lt;15,"⚠️ СЛАБА",IF(C18&lt;25,"✅ ДОБРА","🚀 ОТЛИЧНА"))))</f>
        <v/>
      </c>
      <c r="E20" s="52">
        <f>IF(E17="","?",IF(E17&lt;0,"❌ НЕ",IF(E18&lt;15,"⚠️ СЛАБА",IF(E18&lt;25,"✅ ДОБРА","🚀 ОТЛИЧНА"))))</f>
        <v/>
      </c>
      <c r="G20" s="52">
        <f>IF(G17="","?",IF(G17&lt;0,"❌ НЕ",IF(G18&lt;15,"⚠️ СЛАБА",IF(G18&lt;25,"✅ ДОБРА","🚀 ОТЛИЧНА"))))</f>
        <v/>
      </c>
    </row>
  </sheetData>
  <mergeCells count="51">
    <mergeCell ref="E12:F12"/>
    <mergeCell ref="G12:H12"/>
    <mergeCell ref="C6:D6"/>
    <mergeCell ref="C15:D15"/>
    <mergeCell ref="G11:H11"/>
    <mergeCell ref="C5:D5"/>
    <mergeCell ref="E5:F5"/>
    <mergeCell ref="C14:D14"/>
    <mergeCell ref="E14:F14"/>
    <mergeCell ref="G8:H8"/>
    <mergeCell ref="E17:F17"/>
    <mergeCell ref="E8:F8"/>
    <mergeCell ref="G17:H17"/>
    <mergeCell ref="C4:D4"/>
    <mergeCell ref="C20:D20"/>
    <mergeCell ref="E4:F4"/>
    <mergeCell ref="E20:F20"/>
    <mergeCell ref="A2:O2"/>
    <mergeCell ref="C10:D10"/>
    <mergeCell ref="G7:H7"/>
    <mergeCell ref="E10:F10"/>
    <mergeCell ref="C16:D16"/>
    <mergeCell ref="G10:H10"/>
    <mergeCell ref="E19:F19"/>
    <mergeCell ref="G19:H19"/>
    <mergeCell ref="G6:H6"/>
    <mergeCell ref="C9:D9"/>
    <mergeCell ref="G18:H18"/>
    <mergeCell ref="E9:F9"/>
    <mergeCell ref="C12:D12"/>
    <mergeCell ref="E6:F6"/>
    <mergeCell ref="E15:F15"/>
    <mergeCell ref="C11:D11"/>
    <mergeCell ref="G15:H15"/>
    <mergeCell ref="E11:F11"/>
    <mergeCell ref="G5:H5"/>
    <mergeCell ref="G14:H14"/>
    <mergeCell ref="C17:D17"/>
    <mergeCell ref="C8:D8"/>
    <mergeCell ref="A4:B4"/>
    <mergeCell ref="G4:H4"/>
    <mergeCell ref="G20:H20"/>
    <mergeCell ref="C7:D7"/>
    <mergeCell ref="E16:F16"/>
    <mergeCell ref="E7:F7"/>
    <mergeCell ref="G16:H16"/>
    <mergeCell ref="C19:D19"/>
    <mergeCell ref="A1:O1"/>
    <mergeCell ref="C18:D18"/>
    <mergeCell ref="G9:H9"/>
    <mergeCell ref="E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</cols>
  <sheetData>
    <row r="1" ht="40" customHeight="1">
      <c r="A1" s="1" t="inlineStr">
        <is>
          <t>📖  НАРЪЧНИК — ПРАВИЛА И ОРИЕНТИРИ ЗА FIX &amp; FLIP</t>
        </is>
      </c>
    </row>
    <row r="3" ht="8" customHeight="1"/>
    <row r="4" ht="22" customHeight="1">
      <c r="B4" s="53" t="inlineStr">
        <is>
          <t xml:space="preserve">  ПРАВИЛОТО 70%</t>
        </is>
      </c>
    </row>
    <row r="5" ht="32" customHeight="1">
      <c r="B5" s="54" t="inlineStr">
        <is>
          <t>Max цена покупка = ARV × 70% − Разходи за ремонт
Ако платиш повече — рискуваш да не спечелиш достатъчно.</t>
        </is>
      </c>
      <c r="C5" s="44" t="n"/>
    </row>
    <row r="6" ht="8" customHeight="1"/>
    <row r="7" ht="22" customHeight="1">
      <c r="B7" s="55" t="inlineStr">
        <is>
          <t xml:space="preserve">  ЦЕЛЕВИ ROI</t>
        </is>
      </c>
    </row>
    <row r="8" ht="18" customHeight="1">
      <c r="B8" s="54" t="inlineStr">
        <is>
          <t>Минимум 20–25% ROI за да е worth-it. Под 15% — само ако е много бърза сделка.</t>
        </is>
      </c>
      <c r="C8" s="44" t="n"/>
    </row>
    <row r="9" ht="8" customHeight="1"/>
    <row r="10" ht="22" customHeight="1">
      <c r="B10" s="56" t="inlineStr">
        <is>
          <t xml:space="preserve">  НЕПРЕДВИДЕНИ РАЗХОДИ</t>
        </is>
      </c>
    </row>
    <row r="11" ht="18" customHeight="1">
      <c r="B11" s="54" t="inlineStr">
        <is>
          <t>Винаги добавяй 15–20% буфер върху ремонта. Никой ремонт не излиза по план.</t>
        </is>
      </c>
      <c r="C11" s="44" t="n"/>
    </row>
    <row r="12" ht="8" customHeight="1"/>
    <row r="13" ht="22" customHeight="1">
      <c r="B13" s="57" t="inlineStr">
        <is>
          <t xml:space="preserve">  СРОК</t>
        </is>
      </c>
    </row>
    <row r="14" ht="18" customHeight="1">
      <c r="B14" s="54" t="inlineStr">
        <is>
          <t>Идеално: 3–6 месеца от покупка до продажба. Всеки допълнителен месец изяжда печалбата ти.</t>
        </is>
      </c>
      <c r="C14" s="44" t="n"/>
    </row>
    <row r="15" ht="8" customHeight="1"/>
    <row r="16" ht="22" customHeight="1">
      <c r="B16" s="58" t="inlineStr">
        <is>
          <t xml:space="preserve">  РЕМОНТ BUDGET</t>
        </is>
      </c>
    </row>
    <row r="17" ht="48" customHeight="1">
      <c r="B17" s="54" t="inlineStr">
        <is>
          <t>Леки козметични: 200–400 лв/m²
Среден ремонт: 400–700 лв/m²
Пълен ремонт: 700–1200+ лв/m²</t>
        </is>
      </c>
      <c r="C17" s="44" t="n"/>
    </row>
    <row r="18" ht="8" customHeight="1"/>
    <row r="19" ht="22" customHeight="1">
      <c r="B19" s="59" t="inlineStr">
        <is>
          <t xml:space="preserve">  ДАНЪЦИ (BG)</t>
        </is>
      </c>
    </row>
    <row r="20" ht="32" customHeight="1">
      <c r="B20" s="54" t="inlineStr">
        <is>
          <t>Физическо лице: 10% ДДФЛ върху печалбата (продажна цена − документална стойност − разходи).
При продажба в рамките на 2 г. от покупката — данъкът е дължим.</t>
        </is>
      </c>
      <c r="C20" s="44" t="n"/>
    </row>
    <row r="21" ht="8" customHeight="1"/>
    <row r="22" ht="22" customHeight="1">
      <c r="B22" s="60" t="inlineStr">
        <is>
          <t xml:space="preserve">  ЛИКВИДНОСТ НА ПАЗАРА</t>
        </is>
      </c>
    </row>
    <row r="23" ht="48" customHeight="1">
      <c r="B23" s="54" t="inlineStr">
        <is>
          <t>Клас A (центъра, новото строителство) — продава се за 1–3 мес.
Клас B (добри кв.) — 2–5 мес.
Клас C (периферия) — 4–8+ мес. → вдигни буфера за държане.</t>
        </is>
      </c>
      <c r="C23" s="44" t="n"/>
    </row>
    <row r="24" ht="8" customHeight="1"/>
    <row r="25" ht="22" customHeight="1">
      <c r="B25" s="61" t="inlineStr">
        <is>
          <t xml:space="preserve">  GREED CHECK</t>
        </is>
      </c>
    </row>
    <row r="26" ht="32" customHeight="1">
      <c r="B26" s="54" t="inlineStr">
        <is>
          <t>Ако изкарваш по-малко от 20 000 лв. нетно — почти не си струва рискът и времето.
Вземи предвид алтернативния разход (напр. банков депозит 4–5%).</t>
        </is>
      </c>
      <c r="C26" s="44" t="n"/>
    </row>
    <row r="27" ht="8" customHeight="1"/>
    <row r="28" ht="22" customHeight="1">
      <c r="B28" s="53" t="inlineStr">
        <is>
          <t xml:space="preserve">  CHECKLIST ПРЕДИ ОФЕРТА</t>
        </is>
      </c>
    </row>
    <row r="29" ht="80" customHeight="1">
      <c r="B29" s="54" t="inlineStr">
        <is>
          <t>☑ Огледал ли си имота лично?
☑ Взел ли си оферти от поне 2 майстора?
☑ Проверил ли си тежести / ипотеки в Имотен регистър?
☑ Знаеш ли ARV-то от 3 реални сравними продажби?
☑ Имаш ли готово финансиране преди да правиш оферта?</t>
        </is>
      </c>
      <c r="C29" s="44" t="n"/>
    </row>
  </sheetData>
  <mergeCells count="19">
    <mergeCell ref="B16:C16"/>
    <mergeCell ref="B7:C7"/>
    <mergeCell ref="B25:C25"/>
    <mergeCell ref="B22:C22"/>
    <mergeCell ref="B11:C11"/>
    <mergeCell ref="B23:C23"/>
    <mergeCell ref="B14:C14"/>
    <mergeCell ref="B17:C17"/>
    <mergeCell ref="B8:C8"/>
    <mergeCell ref="B13:C13"/>
    <mergeCell ref="B29:C29"/>
    <mergeCell ref="B19:C19"/>
    <mergeCell ref="B10:C10"/>
    <mergeCell ref="B28:C28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2026-02-19T18:45:26Z</dcterms:created>
  <dcterms:modified xmlns:dcterms="http://purl.org/dc/terms/" xmlns:xsi="http://www.w3.org/2001/XMLSchema-instance" xsi:type="dcterms:W3CDTF">2026-02-19T18:45:26Z</dcterms:modified>
</cp:coreProperties>
</file>