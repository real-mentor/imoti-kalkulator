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кулатор разход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1E3A5F"/>
      <sz val="11"/>
    </font>
    <font>
      <i val="1"/>
      <color rgb="003B82F6"/>
      <sz val="10"/>
    </font>
  </fonts>
  <fills count="1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97316"/>
        <bgColor rgb="00F97316"/>
      </patternFill>
    </fill>
    <fill>
      <patternFill patternType="solid">
        <fgColor rgb="00FED7AA"/>
        <bgColor rgb="00FED7AA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8B5CF6"/>
        <bgColor rgb="008B5CF6"/>
      </patternFill>
    </fill>
    <fill>
      <patternFill patternType="solid">
        <fgColor rgb="00E9D5FF"/>
        <bgColor rgb="00E9D5FF"/>
      </patternFill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  <fill>
      <patternFill patternType="solid">
        <fgColor rgb="00E8F4F4"/>
        <bgColor rgb="00E8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wrapText="1"/>
    </xf>
    <xf numFmtId="164" fontId="4" fillId="8" borderId="0" applyAlignment="1" pivotButton="0" quotePrefix="0" xfId="0">
      <alignment horizontal="right" vertical="center"/>
    </xf>
    <xf numFmtId="164" fontId="5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 wrapText="1"/>
    </xf>
    <xf numFmtId="164" fontId="4" fillId="10" borderId="0" applyAlignment="1" pivotButton="0" quotePrefix="0" xfId="0">
      <alignment horizontal="right" vertical="center"/>
    </xf>
    <xf numFmtId="164" fontId="5" fillId="10" borderId="0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 wrapText="1"/>
    </xf>
    <xf numFmtId="164" fontId="5" fillId="12" borderId="0" applyAlignment="1" pivotButton="0" quotePrefix="0" xfId="0">
      <alignment horizontal="right" vertical="center"/>
    </xf>
    <xf numFmtId="164" fontId="4" fillId="12" borderId="0" applyAlignment="1" pivotButton="0" quotePrefix="0" xfId="0">
      <alignment horizontal="right" vertical="center"/>
    </xf>
    <xf numFmtId="0" fontId="2" fillId="13" borderId="0" applyAlignment="1" pivotButton="0" quotePrefix="0" xfId="0">
      <alignment horizontal="left" vertical="center" wrapText="1"/>
    </xf>
    <xf numFmtId="164" fontId="5" fillId="14" borderId="0" applyAlignment="1" pivotButton="0" quotePrefix="0" xfId="0">
      <alignment horizontal="right" vertical="center"/>
    </xf>
    <xf numFmtId="10" fontId="5" fillId="15" borderId="0" applyAlignment="1" pivotButton="0" quotePrefix="0" xfId="0">
      <alignment horizontal="right" vertical="center"/>
    </xf>
    <xf numFmtId="10" fontId="5" fillId="8" borderId="0" applyAlignment="1" pivotButton="0" quotePrefix="0" xfId="0">
      <alignment horizontal="right" vertical="center"/>
    </xf>
    <xf numFmtId="164" fontId="5" fillId="15" borderId="0" applyAlignment="1" pivotButton="0" quotePrefix="0" xfId="0">
      <alignment horizontal="right" vertical="center"/>
    </xf>
    <xf numFmtId="10" fontId="5" fillId="6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" customWidth="1" min="3" max="3"/>
  </cols>
  <sheetData>
    <row r="1" ht="25" customHeight="1">
      <c r="A1" s="1" t="inlineStr">
        <is>
          <t>КАЛКУЛАТОР ЗА ВСИЧКИ РАЗХОДИ</t>
        </is>
      </c>
    </row>
    <row r="3">
      <c r="A3" s="2" t="inlineStr">
        <is>
          <t>📋 ВХОДНИ ДАННИ</t>
        </is>
      </c>
    </row>
    <row r="4">
      <c r="A4" s="3" t="inlineStr">
        <is>
          <t>Локация (град, квартал)</t>
        </is>
      </c>
      <c r="B4" t="inlineStr">
        <is>
          <t>София, Студентски град</t>
        </is>
      </c>
    </row>
    <row r="5">
      <c r="A5" s="3" t="inlineStr">
        <is>
          <t>Площ (м²)</t>
        </is>
      </c>
      <c r="B5" s="4" t="n">
        <v>60</v>
      </c>
    </row>
    <row r="6">
      <c r="A6" s="3" t="inlineStr">
        <is>
          <t>Тип (1-стаен, 2-стаен...)</t>
        </is>
      </c>
      <c r="B6" t="inlineStr">
        <is>
          <t>2-стаен</t>
        </is>
      </c>
    </row>
    <row r="8">
      <c r="A8" s="5" t="inlineStr">
        <is>
          <t>💰 ЕДНОКРАТНИ РАЗХОДИ (при покупка)</t>
        </is>
      </c>
    </row>
    <row r="9">
      <c r="A9" s="3" t="inlineStr">
        <is>
          <t>1. Цена на имота</t>
        </is>
      </c>
      <c r="B9" s="6" t="n">
        <v>80000</v>
      </c>
    </row>
    <row r="10">
      <c r="A10" s="3" t="inlineStr">
        <is>
          <t>2. Нотариални такси (2%)</t>
        </is>
      </c>
      <c r="B10" s="7">
        <f>B9*0.02</f>
        <v/>
      </c>
    </row>
    <row r="11">
      <c r="A11" s="3" t="inlineStr">
        <is>
          <t>3. ДПА - данък при придобиване (2.5%)</t>
        </is>
      </c>
      <c r="B11" s="7">
        <f>B9*0.025</f>
        <v/>
      </c>
    </row>
    <row r="12">
      <c r="A12" s="3" t="inlineStr">
        <is>
          <t>4. Адвокат</t>
        </is>
      </c>
      <c r="B12" s="6" t="n">
        <v>500</v>
      </c>
    </row>
    <row r="13">
      <c r="A13" s="3" t="inlineStr">
        <is>
          <t>5. Комисионна агенция (3%, 0 ако директно)</t>
        </is>
      </c>
      <c r="B13" s="6">
        <f>B9*0.03</f>
        <v/>
      </c>
    </row>
    <row r="14">
      <c r="A14" s="3" t="inlineStr">
        <is>
          <t>6. Ремонт (до ключ €0, леко €1500, среден €4000)</t>
        </is>
      </c>
      <c r="B14" s="6" t="n">
        <v>4000</v>
      </c>
    </row>
    <row r="15">
      <c r="A15" s="3" t="inlineStr">
        <is>
          <t>7. Обзавеждане (ако наемаш обзаведено)</t>
        </is>
      </c>
      <c r="B15" s="6" t="n">
        <v>3000</v>
      </c>
    </row>
    <row r="16">
      <c r="A16" s="3" t="inlineStr">
        <is>
          <t>8. Буфер непредвидени</t>
        </is>
      </c>
      <c r="B16" s="6" t="n">
        <v>1000</v>
      </c>
    </row>
    <row r="17">
      <c r="A17" s="8" t="inlineStr">
        <is>
          <t>ОБЩО ВЛАГАНЕ (реално)</t>
        </is>
      </c>
      <c r="B17" s="9">
        <f>SUM(B9:B16)</f>
        <v/>
      </c>
    </row>
    <row r="19">
      <c r="A19" s="10" t="inlineStr">
        <is>
          <t>💵 МЕСЕЧЕН НАЕМ</t>
        </is>
      </c>
    </row>
    <row r="20">
      <c r="A20" s="3" t="inlineStr">
        <is>
          <t>Месечен наем</t>
        </is>
      </c>
      <c r="B20" s="11" t="n">
        <v>500</v>
      </c>
    </row>
    <row r="21">
      <c r="A21" s="3" t="inlineStr">
        <is>
          <t>Годишен наем (12 месеца)</t>
        </is>
      </c>
      <c r="B21" s="12">
        <f>B20*12</f>
        <v/>
      </c>
    </row>
    <row r="23">
      <c r="A23" s="13" t="inlineStr">
        <is>
          <t>📊 ТЕКУЩИ ГОДИШНИ РАЗХОДИ</t>
        </is>
      </c>
    </row>
    <row r="24">
      <c r="A24" s="3" t="inlineStr">
        <is>
          <t>Данък недвижим имот</t>
        </is>
      </c>
      <c r="B24" s="14" t="n">
        <v>40</v>
      </c>
    </row>
    <row r="25">
      <c r="A25" s="3" t="inlineStr">
        <is>
          <t>ТБО (такса битови отпадъци)</t>
        </is>
      </c>
      <c r="B25" s="14" t="n">
        <v>25</v>
      </c>
    </row>
    <row r="26">
      <c r="A26" s="3" t="inlineStr">
        <is>
          <t>Управител (€30/мес × 12)</t>
        </is>
      </c>
      <c r="B26" s="14" t="n">
        <v>360</v>
      </c>
    </row>
    <row r="27">
      <c r="A27" s="3" t="inlineStr">
        <is>
          <t>Ремонтен фонд (€25/мес × 12)</t>
        </is>
      </c>
      <c r="B27" s="14" t="n">
        <v>300</v>
      </c>
    </row>
    <row r="28">
      <c r="A28" s="3" t="inlineStr">
        <is>
          <t>Застраховка имот</t>
        </is>
      </c>
      <c r="B28" s="14" t="n">
        <v>100</v>
      </c>
    </row>
    <row r="29">
      <c r="A29" s="3" t="inlineStr">
        <is>
          <t>Комунални празни периоди</t>
        </is>
      </c>
      <c r="B29" s="14" t="n">
        <v>15</v>
      </c>
    </row>
    <row r="30">
      <c r="A30" s="13" t="inlineStr">
        <is>
          <t>ОБЩО ТЕКУЩИ РАЗХОДИ</t>
        </is>
      </c>
      <c r="B30" s="15">
        <f>SUM(B24:B29)</f>
        <v/>
      </c>
    </row>
    <row r="32">
      <c r="A32" s="16" t="inlineStr">
        <is>
          <t>⚠️ СКРИТИ РАЗХОДИ (годишни)</t>
        </is>
      </c>
    </row>
    <row r="33">
      <c r="A33" s="3" t="inlineStr">
        <is>
          <t>Празни периоди (vacancy 8%)</t>
        </is>
      </c>
      <c r="B33" s="17">
        <f>B21*0.08</f>
        <v/>
      </c>
    </row>
    <row r="34">
      <c r="A34" s="3" t="inlineStr">
        <is>
          <t>Смяна наематели (почистване, ремонт)</t>
        </is>
      </c>
      <c r="B34" s="18" t="n">
        <v>200</v>
      </c>
    </row>
    <row r="35">
      <c r="A35" s="3" t="inlineStr">
        <is>
          <t>Спешни ремонти</t>
        </is>
      </c>
      <c r="B35" s="18" t="n">
        <v>400</v>
      </c>
    </row>
    <row r="36">
      <c r="A36" s="3" t="inlineStr">
        <is>
          <t>Такси извънредни (общи части)</t>
        </is>
      </c>
      <c r="B36" s="18" t="n">
        <v>150</v>
      </c>
    </row>
    <row r="37">
      <c r="A37" s="3" t="inlineStr">
        <is>
          <t>Други непредвидени</t>
        </is>
      </c>
      <c r="B37" s="18" t="n">
        <v>150</v>
      </c>
    </row>
    <row r="38">
      <c r="A38" s="16" t="inlineStr">
        <is>
          <t>ОБЩО СКРИТИ РАЗХОДИ</t>
        </is>
      </c>
      <c r="B38" s="17">
        <f>SUM(B33:B37)</f>
        <v/>
      </c>
    </row>
    <row r="40">
      <c r="A40" s="19" t="inlineStr">
        <is>
          <t>📈 ОБОБЩЕНИЕ ГОДИШНИ</t>
        </is>
      </c>
    </row>
    <row r="41">
      <c r="A41" s="3" t="inlineStr">
        <is>
          <t>Годишен наем (брутен)</t>
        </is>
      </c>
      <c r="B41" s="20">
        <f>B21</f>
        <v/>
      </c>
    </row>
    <row r="42">
      <c r="A42" s="3" t="inlineStr">
        <is>
          <t>Минус: Текущи разходи</t>
        </is>
      </c>
      <c r="B42" s="20">
        <f>-B30</f>
        <v/>
      </c>
    </row>
    <row r="43">
      <c r="A43" s="3" t="inlineStr">
        <is>
          <t>Минус: Скрити разходи</t>
        </is>
      </c>
      <c r="B43" s="20">
        <f>-B38</f>
        <v/>
      </c>
    </row>
    <row r="44">
      <c r="A44" s="10" t="inlineStr">
        <is>
          <t>НЕТЕН ГОДИШЕН ПРИХОД</t>
        </is>
      </c>
      <c r="B44" s="12">
        <f>B21+B42+B43</f>
        <v/>
      </c>
    </row>
    <row r="46">
      <c r="A46" s="2" t="inlineStr">
        <is>
          <t>🎯 ДОХОДНОСТ И ROI</t>
        </is>
      </c>
    </row>
    <row r="47">
      <c r="A47" s="3" t="inlineStr">
        <is>
          <t>Брутна доходност (без разходи)</t>
        </is>
      </c>
      <c r="B47" s="21">
        <f>B21/B9</f>
        <v/>
      </c>
    </row>
    <row r="48">
      <c r="A48" s="3" t="inlineStr">
        <is>
          <t>Нетна доходност (спрямо цена)</t>
        </is>
      </c>
      <c r="B48" s="21">
        <f>B44/B9</f>
        <v/>
      </c>
    </row>
    <row r="49">
      <c r="A49" s="10" t="inlineStr">
        <is>
          <t>РЕАЛЕН ROI (спрямо влагане)</t>
        </is>
      </c>
      <c r="B49" s="22">
        <f>B44/B17</f>
        <v/>
      </c>
    </row>
    <row r="50">
      <c r="A50" s="3" t="inlineStr">
        <is>
          <t>Месечен паричен поток</t>
        </is>
      </c>
      <c r="B50" s="23">
        <f>B44/12</f>
        <v/>
      </c>
    </row>
    <row r="52">
      <c r="A52" s="13" t="inlineStr">
        <is>
          <t>⚖️ СРАВНЕНИЕ</t>
        </is>
      </c>
    </row>
    <row r="53">
      <c r="A53" s="3" t="inlineStr">
        <is>
          <t>Реално влагане</t>
        </is>
      </c>
      <c r="B53" s="15">
        <f>B17</f>
        <v/>
      </c>
    </row>
    <row r="54">
      <c r="A54" s="3" t="inlineStr">
        <is>
          <t>Цена имота</t>
        </is>
      </c>
      <c r="B54" s="15">
        <f>B9</f>
        <v/>
      </c>
    </row>
    <row r="55">
      <c r="A55" s="3" t="inlineStr">
        <is>
          <t>Разлика (допълнителни разходи)</t>
        </is>
      </c>
      <c r="B55" s="9">
        <f>B17-B9</f>
        <v/>
      </c>
    </row>
    <row r="56">
      <c r="A56" s="3" t="inlineStr">
        <is>
          <t>% над цената</t>
        </is>
      </c>
      <c r="B56" s="24">
        <f>(B17-B9)/B9</f>
        <v/>
      </c>
    </row>
    <row r="58">
      <c r="A58" s="25" t="inlineStr">
        <is>
          <t>💡 Променяй стойностите в СИНИТЕ и ОРАНЖЕВИТЕ полета</t>
        </is>
      </c>
    </row>
  </sheetData>
  <mergeCells count="10">
    <mergeCell ref="A52:B52"/>
    <mergeCell ref="A19:B19"/>
    <mergeCell ref="A46:B46"/>
    <mergeCell ref="A32:B32"/>
    <mergeCell ref="A1:B1"/>
    <mergeCell ref="A23:B23"/>
    <mergeCell ref="A8:B8"/>
    <mergeCell ref="A3:B3"/>
    <mergeCell ref="A58:B58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2026-03-12T11:03:46Z</dcterms:created>
  <dcterms:modified xmlns:dcterms="http://purl.org/dc/terms/" xmlns:xsi="http://www.w3.org/2001/XMLSchema-instance" xsi:type="dcterms:W3CDTF">2026-03-12T11:03:46Z</dcterms:modified>
</cp:coreProperties>
</file>