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eodorboev/Downloads/"/>
    </mc:Choice>
  </mc:AlternateContent>
  <xr:revisionPtr revIDLastSave="0" documentId="8_{A7A5DB1B-ADDC-254D-A929-6B18B49040A2}" xr6:coauthVersionLast="47" xr6:coauthVersionMax="47" xr10:uidLastSave="{00000000-0000-0000-0000-000000000000}"/>
  <bookViews>
    <workbookView xWindow="0" yWindow="760" windowWidth="30240" windowHeight="17340" tabRatio="500" xr2:uid="{00000000-000D-0000-FFFF-FFFF00000000}"/>
  </bookViews>
  <sheets>
    <sheet name="🏠 Паспорт на имота" sheetId="1" r:id="rId1"/>
    <sheet name="👤 Наематели" sheetId="2" r:id="rId2"/>
    <sheet name="💶 Плащания наем" sheetId="3" r:id="rId3"/>
    <sheet name="📋 Разходи и сметки" sheetId="4" r:id="rId4"/>
    <sheet name="🔨 Ремонти" sheetId="5" r:id="rId5"/>
    <sheet name="🛋️ Обзавеждане" sheetId="6" r:id="rId6"/>
    <sheet name="📊 Финансово резюме" sheetId="7" r:id="rId7"/>
    <sheet name="📂 Документ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7" l="1"/>
  <c r="C14" i="7"/>
  <c r="C13" i="7"/>
  <c r="C12" i="7"/>
  <c r="C24" i="7" s="1"/>
  <c r="C9" i="7"/>
  <c r="C8" i="7"/>
  <c r="C7" i="7"/>
  <c r="C5" i="7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4" i="5"/>
  <c r="C19" i="7" s="1"/>
  <c r="D4" i="5"/>
  <c r="A4" i="5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I5" i="3" s="1"/>
  <c r="H8" i="3"/>
  <c r="G5" i="3"/>
  <c r="C5" i="3"/>
  <c r="A5" i="3"/>
  <c r="C15" i="2"/>
  <c r="C27" i="1"/>
  <c r="C26" i="1"/>
  <c r="C23" i="7" l="1"/>
  <c r="C6" i="7"/>
  <c r="C18" i="7"/>
  <c r="C22" i="7"/>
  <c r="C25" i="7" s="1"/>
  <c r="E5" i="3" l="1"/>
</calcChain>
</file>

<file path=xl/sharedStrings.xml><?xml version="1.0" encoding="utf-8"?>
<sst xmlns="http://schemas.openxmlformats.org/spreadsheetml/2006/main" count="344" uniqueCount="285">
  <si>
    <t>🏠  ПАСПОРТ НА ИМОТА  —  Пълни данни и характеристики</t>
  </si>
  <si>
    <t>Real Mentor  |  Управление на недвижим имот</t>
  </si>
  <si>
    <t>А.  ОСНОВНИ ДАННИ ЗА ИМОТА</t>
  </si>
  <si>
    <t>Адрес на имота</t>
  </si>
  <si>
    <t>Град / Квартал / Улица / Блок / Ап.</t>
  </si>
  <si>
    <t>Тип имот</t>
  </si>
  <si>
    <t>Апартамент / Къща / Студио / Гараж</t>
  </si>
  <si>
    <t>Жилищна площ (кв.м)</t>
  </si>
  <si>
    <t>По нотариален акт</t>
  </si>
  <si>
    <t>Застроена площ (кв.м)</t>
  </si>
  <si>
    <t>Вкл. дебелина на стените</t>
  </si>
  <si>
    <t>Етаж</t>
  </si>
  <si>
    <t>Напр. 4 от 10</t>
  </si>
  <si>
    <t>Изложение</t>
  </si>
  <si>
    <t>Юг / Север / Изток / Запад / Комб.</t>
  </si>
  <si>
    <t>Вид конструкция</t>
  </si>
  <si>
    <t>Панел / Тухла / ЕПК / Нова сграда</t>
  </si>
  <si>
    <t>Година на строеж</t>
  </si>
  <si>
    <t>Кадастрален идентификатор</t>
  </si>
  <si>
    <t>По КРНИ — задължителен</t>
  </si>
  <si>
    <t>Нотариален акт №</t>
  </si>
  <si>
    <t>Том / Рег. / Дело</t>
  </si>
  <si>
    <t>Нотариус</t>
  </si>
  <si>
    <t>Имe и нотариален район</t>
  </si>
  <si>
    <t>Имотен регистър</t>
  </si>
  <si>
    <t>Служба по вписванията</t>
  </si>
  <si>
    <t>Б.  ПРИДОБИВАНЕ  —  Финансови данни</t>
  </si>
  <si>
    <t>Дата на придобиване</t>
  </si>
  <si>
    <t>Дата на нотариален акт</t>
  </si>
  <si>
    <t>Покупна цена (лв.)</t>
  </si>
  <si>
    <t>Покупна цена (EUR)</t>
  </si>
  <si>
    <t>По фиксинга БНБ 1.95583</t>
  </si>
  <si>
    <t>Нотариални такси и данъци (лв.)</t>
  </si>
  <si>
    <t>Местен данък + нотариус + вписване</t>
  </si>
  <si>
    <t>Брокерска комисионна (лв.)</t>
  </si>
  <si>
    <t>Ако е платена</t>
  </si>
  <si>
    <t>Ремонт при придобиване (лв.)</t>
  </si>
  <si>
    <t>Вж. лист Ремонти</t>
  </si>
  <si>
    <t>Обзавеждане при придобиване (лв.)</t>
  </si>
  <si>
    <t>Вж. лист Обзавеждане</t>
  </si>
  <si>
    <t>ОБЩА ИНВЕСТИЦИЯ (лв.)</t>
  </si>
  <si>
    <t>Автоматично</t>
  </si>
  <si>
    <t>ОБЩА ИНВЕСТИЦИЯ (EUR)</t>
  </si>
  <si>
    <t>По фиксинга БНБ</t>
  </si>
  <si>
    <t>В.  ТЕХНИЧЕСКИ ХАРАКТЕРИСТИКИ</t>
  </si>
  <si>
    <t>Отопление</t>
  </si>
  <si>
    <t>ЦО / Климатик / Печка / ТЛ / Газ</t>
  </si>
  <si>
    <t>Топла вода</t>
  </si>
  <si>
    <t>Бойлер / ЦО / Слънчев колектор</t>
  </si>
  <si>
    <t>Климатизация</t>
  </si>
  <si>
    <t>Марка, модел, брой тела</t>
  </si>
  <si>
    <t>Дограма</t>
  </si>
  <si>
    <t>PVC / Алуминий / Дърво  |  Двойно/Тройно стъкло</t>
  </si>
  <si>
    <t>Подови настилки</t>
  </si>
  <si>
    <t>Паркет / Ламинат / Теракот / LVP</t>
  </si>
  <si>
    <t>Интернет оператор</t>
  </si>
  <si>
    <t>Доставчик + скорост</t>
  </si>
  <si>
    <t>ТВ / Кабелен</t>
  </si>
  <si>
    <t>Оператор</t>
  </si>
  <si>
    <t>Гараж / Паркинг</t>
  </si>
  <si>
    <t>Номер / Закрит / Открит</t>
  </si>
  <si>
    <t>Мазе</t>
  </si>
  <si>
    <t>Номер / кв.м</t>
  </si>
  <si>
    <t>Стан/Перилня</t>
  </si>
  <si>
    <t>Достъп до перилня в сградата</t>
  </si>
  <si>
    <t>Вход / Код</t>
  </si>
  <si>
    <t>Входен код на сграда</t>
  </si>
  <si>
    <t>Домофон</t>
  </si>
  <si>
    <t>Номер и системa</t>
  </si>
  <si>
    <t>Г.  ПАРТИДИ, АБОНАТНИ НОМЕРА И ДОСТАВЧИЦИ  —  Всички услуги</t>
  </si>
  <si>
    <t>Услуга</t>
  </si>
  <si>
    <t>Абон. / Партиден №</t>
  </si>
  <si>
    <t>Доставчик</t>
  </si>
  <si>
    <t>Клиентски №</t>
  </si>
  <si>
    <t>Обслужващ офис / Телефон</t>
  </si>
  <si>
    <t>Бележки</t>
  </si>
  <si>
    <t>⚡ Електроенергия</t>
  </si>
  <si>
    <t>ЧЕЗ / ЕВН / ЕНЕРГО-ПРО</t>
  </si>
  <si>
    <t>Брой фаза: 1F / 3F</t>
  </si>
  <si>
    <t>💧 Студена вода</t>
  </si>
  <si>
    <t>ВиК / Водснабдяване</t>
  </si>
  <si>
    <t>Размер на водомер</t>
  </si>
  <si>
    <t>🌡️ Топла вода (ЦО)</t>
  </si>
  <si>
    <t>Топлофикация / Самост.</t>
  </si>
  <si>
    <t>🔥 Природен газ</t>
  </si>
  <si>
    <t>Булгаргаз / Регионален</t>
  </si>
  <si>
    <t>Тип консуматор</t>
  </si>
  <si>
    <t>🏢 ЕСС</t>
  </si>
  <si>
    <t>Управителен съвет / Фирма</t>
  </si>
  <si>
    <t>Месечна вноска</t>
  </si>
  <si>
    <t>🛗 Асансьор</t>
  </si>
  <si>
    <t>Компания за поддръжка</t>
  </si>
  <si>
    <t>Годишна такса</t>
  </si>
  <si>
    <t>📡 Интернет</t>
  </si>
  <si>
    <t>А1 / Виваком / Нет1</t>
  </si>
  <si>
    <t>Договор до:</t>
  </si>
  <si>
    <t>📺 Кабелна ТВ</t>
  </si>
  <si>
    <t>📱 Домофон</t>
  </si>
  <si>
    <t>♻️ Сметосъбиране</t>
  </si>
  <si>
    <t>Общинска такса</t>
  </si>
  <si>
    <t>Данъчна оценка</t>
  </si>
  <si>
    <t>🏠 Данък имот</t>
  </si>
  <si>
    <t>Общинска администрация</t>
  </si>
  <si>
    <t>Платим до 31.03</t>
  </si>
  <si>
    <t>👤  НАЕМАТЕЛИ  —  Текущи и минали договори</t>
  </si>
  <si>
    <t>Попълнете данните за всеки наемател — жълтите клетки</t>
  </si>
  <si>
    <t>А.  ТЕКУЩ НАЕМАТЕЛ</t>
  </si>
  <si>
    <t>Три имена на наемателя</t>
  </si>
  <si>
    <t>ЕГН / Лична карта №</t>
  </si>
  <si>
    <t>Телефон</t>
  </si>
  <si>
    <t>Имейл</t>
  </si>
  <si>
    <t>Постоянен адрес</t>
  </si>
  <si>
    <t>Работодател / Фирма</t>
  </si>
  <si>
    <t>Или студент / пенсионер</t>
  </si>
  <si>
    <t>Контакт при спешност</t>
  </si>
  <si>
    <t>Имe + Телефон</t>
  </si>
  <si>
    <t>Начало на договора</t>
  </si>
  <si>
    <t>дата</t>
  </si>
  <si>
    <t>Край на договора</t>
  </si>
  <si>
    <t>Месечен наем (EUR)</t>
  </si>
  <si>
    <t>Месечен наем (лв.)</t>
  </si>
  <si>
    <t>по фиксинга БНБ</t>
  </si>
  <si>
    <t>Ден на плащане</t>
  </si>
  <si>
    <t>до кое число на месеца</t>
  </si>
  <si>
    <t>IBAN на наемодателя</t>
  </si>
  <si>
    <t>Депозит платен — сума (EUR)</t>
  </si>
  <si>
    <t>Депозит платен — дата</t>
  </si>
  <si>
    <t>Депозит върнат — сума</t>
  </si>
  <si>
    <t>Депозит върнат — дата</t>
  </si>
  <si>
    <t>Брой живеещи лица</t>
  </si>
  <si>
    <t>Домашни любимци</t>
  </si>
  <si>
    <t>Не</t>
  </si>
  <si>
    <t>Да / Не / Вид</t>
  </si>
  <si>
    <t>Нотариална заверка</t>
  </si>
  <si>
    <t>Да / Не</t>
  </si>
  <si>
    <t>Застраховка на наемателя</t>
  </si>
  <si>
    <t>Б.  ИСТОРИЯ НА НАЕМАТЕЛИТЕ  —  Хронология</t>
  </si>
  <si>
    <t>№</t>
  </si>
  <si>
    <t>Наемател</t>
  </si>
  <si>
    <t>Начало</t>
  </si>
  <si>
    <t>Край</t>
  </si>
  <si>
    <t>Мес. наем (EUR)</t>
  </si>
  <si>
    <t>Депозит (EUR)</t>
  </si>
  <si>
    <t>Причина напускане</t>
  </si>
  <si>
    <t>💶  ПЛАЩАНИЯ НА НАЕМ  —  Хронологичен регистър</t>
  </si>
  <si>
    <t>Отбелязвайте всяко плащане — автоматично се изчисляват просрочия</t>
  </si>
  <si>
    <t>Общо начислено (EUR)</t>
  </si>
  <si>
    <t>Общо получено (EUR)</t>
  </si>
  <si>
    <t>Разлика (δ EUR)</t>
  </si>
  <si>
    <t>Брой записа</t>
  </si>
  <si>
    <t>Закъснения (записа)</t>
  </si>
  <si>
    <t>Период (мес.)</t>
  </si>
  <si>
    <t>Дата
падеж</t>
  </si>
  <si>
    <t>Начислено
(EUR)</t>
  </si>
  <si>
    <t>Получено?</t>
  </si>
  <si>
    <t>Получена
сума (EUR)</t>
  </si>
  <si>
    <t>Дата
плащане</t>
  </si>
  <si>
    <t>Закъснение
(дни)</t>
  </si>
  <si>
    <t>Забележка / Начин</t>
  </si>
  <si>
    <t>📋  РАЗХОДИ И СМЕТКИ  —  Всички плащания свързани с имота</t>
  </si>
  <si>
    <t>Фиксирани + Променливи + Данъци + ЕСС + Застраховки</t>
  </si>
  <si>
    <t>Общо разходи (EUR)</t>
  </si>
  <si>
    <t>Фиксирани</t>
  </si>
  <si>
    <t>Променливи</t>
  </si>
  <si>
    <t>Данъци/Такси</t>
  </si>
  <si>
    <t>Ремонти</t>
  </si>
  <si>
    <t>Дата</t>
  </si>
  <si>
    <t>Описание / Категория</t>
  </si>
  <si>
    <t>Сума (EUR)</t>
  </si>
  <si>
    <t>Сума (лв.)</t>
  </si>
  <si>
    <t>Фактура №</t>
  </si>
  <si>
    <t>Плащане</t>
  </si>
  <si>
    <t>Категория</t>
  </si>
  <si>
    <t>🔨  РЕМОНТИ, ПОПРАВКИ И ПОДОБРЕНИЯ  —  Пълна история</t>
  </si>
  <si>
    <t>Всяко вложение в имота — материали, труд и обща стойност</t>
  </si>
  <si>
    <t>💰 Общо вложено (EUR)</t>
  </si>
  <si>
    <t>🔧 Брой ремонти</t>
  </si>
  <si>
    <t>📅 Последен ремонт</t>
  </si>
  <si>
    <t>Описание / Вид ремонт</t>
  </si>
  <si>
    <t>Изпълнител</t>
  </si>
  <si>
    <t>Материали
(EUR)</t>
  </si>
  <si>
    <t>Труд
(EUR)</t>
  </si>
  <si>
    <t>Общо
(EUR)</t>
  </si>
  <si>
    <t>Гаранция до</t>
  </si>
  <si>
    <t>Приоритет</t>
  </si>
  <si>
    <t>Бележки / Фактури</t>
  </si>
  <si>
    <t>🛋️  ОБЗАВЕЖДАНЕ И ИНВЕНТАР  —  Пълен опис</t>
  </si>
  <si>
    <t>Всяка мебел, уред и предмет в имота — с дата, цена и гаранция</t>
  </si>
  <si>
    <t>Дата
закупено</t>
  </si>
  <si>
    <t>Артикул / Описание</t>
  </si>
  <si>
    <t>Местонахождение</t>
  </si>
  <si>
    <t>Кол.</t>
  </si>
  <si>
    <t>Ед. цена
(EUR)</t>
  </si>
  <si>
    <t>Обща цена
(EUR)</t>
  </si>
  <si>
    <t>Сост.</t>
  </si>
  <si>
    <t>Гаранция
до</t>
  </si>
  <si>
    <t>Бележки / Марка</t>
  </si>
  <si>
    <t>Диван / Ъглов диван</t>
  </si>
  <si>
    <t>Хол</t>
  </si>
  <si>
    <t>Холна маса</t>
  </si>
  <si>
    <t>ТВ</t>
  </si>
  <si>
    <t>Шкаф / Скрин</t>
  </si>
  <si>
    <t>Климатик</t>
  </si>
  <si>
    <t>Легло + матрак</t>
  </si>
  <si>
    <t>Спалня</t>
  </si>
  <si>
    <t>Гардероб</t>
  </si>
  <si>
    <t>Нощни шкафчета</t>
  </si>
  <si>
    <t>Хладилник</t>
  </si>
  <si>
    <t>Кухня</t>
  </si>
  <si>
    <t>Готварска печка / Котлон</t>
  </si>
  <si>
    <t>Фурна</t>
  </si>
  <si>
    <t>Абсорбатор</t>
  </si>
  <si>
    <t>Съдомиялня</t>
  </si>
  <si>
    <t>Микровълнова</t>
  </si>
  <si>
    <t>Кухненски шкафове</t>
  </si>
  <si>
    <t>Бойлер</t>
  </si>
  <si>
    <t>Баня</t>
  </si>
  <si>
    <t>Пералня</t>
  </si>
  <si>
    <t>Сушилня</t>
  </si>
  <si>
    <t>Интернет рутер</t>
  </si>
  <si>
    <t>Общо</t>
  </si>
  <si>
    <t>Прахосмукачка</t>
  </si>
  <si>
    <t>🏷️  ОБЩА СТОЙНОСТ НА ОБЗАВЕЖДАНЕТО</t>
  </si>
  <si>
    <t>📊  ФИНАНСОВО РЕЗЮМЕ  —  Обобщен преглед на инвестицията</t>
  </si>
  <si>
    <t>Автоматично изчислено от данните в другите листове</t>
  </si>
  <si>
    <t>А.  ИНВЕСТИЦИЯ</t>
  </si>
  <si>
    <t>Д.  ВАЖНИ КОНТАКТИ И БЕЛЕЖКИ</t>
  </si>
  <si>
    <t>👨‍🔧 ВиК майстор:</t>
  </si>
  <si>
    <t>Ремонт и обзавеждане (EUR)</t>
  </si>
  <si>
    <t>⚡ Електротехник:</t>
  </si>
  <si>
    <t>Нотариус и такси (EUR)</t>
  </si>
  <si>
    <t>🏢 Управител ЕСС:</t>
  </si>
  <si>
    <t>⚖️ Адвокат:</t>
  </si>
  <si>
    <t>📋 Счетоводител:</t>
  </si>
  <si>
    <t>🛡️ Застраховател:</t>
  </si>
  <si>
    <t>Б.  ПРИХОДИ (текуща година)</t>
  </si>
  <si>
    <t>🏦 Банка / Ипотека:</t>
  </si>
  <si>
    <t>Брутен наем (EUR)</t>
  </si>
  <si>
    <t>🏛️ Нотариус:</t>
  </si>
  <si>
    <t>Депозит платен (EUR)</t>
  </si>
  <si>
    <t>📡 Интернет поддръжка:</t>
  </si>
  <si>
    <t>Депозит върнат (EUR)</t>
  </si>
  <si>
    <t>🚒 Аварии (24ч):</t>
  </si>
  <si>
    <t>В.  РАЗХОДИ (текуща година)</t>
  </si>
  <si>
    <t>Разходи и сметки (EUR)</t>
  </si>
  <si>
    <t>Ремонти (EUR)</t>
  </si>
  <si>
    <t>ОБЩО РАЗХОДИ (EUR)</t>
  </si>
  <si>
    <t>Г.  НЕТЕН ПАРИЧЕН ПОТОК И ДОХОДНОСТ</t>
  </si>
  <si>
    <t>Нетен паричен поток (EUR)</t>
  </si>
  <si>
    <t>Разходен коефициент (%)</t>
  </si>
  <si>
    <t>Gross Yield (%)</t>
  </si>
  <si>
    <t>Net Yield (%)</t>
  </si>
  <si>
    <t>📂  ДОКУМЕНТИ И АРХИВ  —  Регистър на всички документи</t>
  </si>
  <si>
    <t>Водете пълна документация — при спор имате доказателства</t>
  </si>
  <si>
    <t>Вид документ</t>
  </si>
  <si>
    <t>Издател / Страна</t>
  </si>
  <si>
    <t>Номер / Референция</t>
  </si>
  <si>
    <t>Оригинал?</t>
  </si>
  <si>
    <t>Местоположение на оригинала</t>
  </si>
  <si>
    <t>Нотариален акт</t>
  </si>
  <si>
    <t>Да</t>
  </si>
  <si>
    <t>Личен архив</t>
  </si>
  <si>
    <t>Скица от КРНИ</t>
  </si>
  <si>
    <t>АГКК</t>
  </si>
  <si>
    <t>Папка 'Данъци'</t>
  </si>
  <si>
    <t>Договор за наем — текущ</t>
  </si>
  <si>
    <t>Наемодател + Наемател</t>
  </si>
  <si>
    <t>Папка 'Договори'</t>
  </si>
  <si>
    <t>Приемо-предавателен протокол</t>
  </si>
  <si>
    <t>Застрахователна полица имот</t>
  </si>
  <si>
    <t>Застраховател</t>
  </si>
  <si>
    <t>Папка 'Застраховки'</t>
  </si>
  <si>
    <t>ЕСС — протокол ОС</t>
  </si>
  <si>
    <t>Управителен съвет</t>
  </si>
  <si>
    <t>Папка 'ЕСС'</t>
  </si>
  <si>
    <t>Гаранционна карта — котел</t>
  </si>
  <si>
    <t>Сервиз</t>
  </si>
  <si>
    <t>Фурнадже шкаф</t>
  </si>
  <si>
    <t>Гаранционна карта — климатик</t>
  </si>
  <si>
    <t>Монтажна фирма</t>
  </si>
  <si>
    <t>Договор ел. енергия</t>
  </si>
  <si>
    <t>Скенирано</t>
  </si>
  <si>
    <t>Договор интернет</t>
  </si>
  <si>
    <t>Бойлер + топлофикация</t>
  </si>
  <si>
    <t>Bosh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</si>
</sst>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&quot; лв.&quot;"/>
    <numFmt numFmtId="166" formatCode="#,##0.00&quot; EUR&quot;"/>
    <numFmt numFmtId="167" formatCode="0.0%"/>
  </numFmts>
  <fonts count="26" x14ac:knownFonts="1">
    <font>
      <sz val="11"/>
      <color theme="1"/>
      <name val="Calibri"/>
      <family val="2"/>
      <charset val="1"/>
    </font>
    <font>
      <b/>
      <sz val="13"/>
      <color rgb="FFC9A84C"/>
      <name val="Arial"/>
      <family val="2"/>
    </font>
    <font>
      <b/>
      <sz val="9"/>
      <color rgb="FFC9A84C"/>
      <name val="Arial"/>
      <family val="2"/>
    </font>
    <font>
      <b/>
      <sz val="10"/>
      <color rgb="FFC9A84C"/>
      <name val="Arial"/>
      <family val="2"/>
    </font>
    <font>
      <sz val="10"/>
      <color rgb="FF334155"/>
      <name val="Arial"/>
      <family val="2"/>
    </font>
    <font>
      <b/>
      <sz val="10"/>
      <color rgb="FF0000FF"/>
      <name val="Arial"/>
      <family val="2"/>
    </font>
    <font>
      <sz val="10"/>
      <color rgb="FF94A3B8"/>
      <name val="Arial"/>
      <family val="2"/>
    </font>
    <font>
      <b/>
      <sz val="10"/>
      <color rgb="FFD97706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0E7490"/>
      <name val="Arial"/>
      <family val="2"/>
    </font>
    <font>
      <sz val="9"/>
      <color rgb="FF64748B"/>
      <name val="Arial"/>
      <family val="2"/>
    </font>
    <font>
      <b/>
      <sz val="12"/>
      <color rgb="FFC9A84C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D1B2A"/>
      <name val="Arial"/>
      <family val="2"/>
    </font>
    <font>
      <b/>
      <sz val="11"/>
      <color rgb="FFD97706"/>
      <name val="Arial"/>
      <family val="2"/>
    </font>
    <font>
      <sz val="10"/>
      <color rgb="FF16A34A"/>
      <name val="Arial"/>
      <family val="2"/>
    </font>
    <font>
      <b/>
      <sz val="10"/>
      <color rgb="FF16A34A"/>
      <name val="Arial"/>
      <family val="2"/>
    </font>
    <font>
      <sz val="10"/>
      <color rgb="FFDC2626"/>
      <name val="Arial"/>
      <family val="2"/>
    </font>
    <font>
      <b/>
      <sz val="10"/>
      <color rgb="FFDC2626"/>
      <name val="Arial"/>
      <family val="2"/>
    </font>
    <font>
      <b/>
      <sz val="11"/>
      <color rgb="FFDC2626"/>
      <name val="Arial"/>
      <family val="2"/>
    </font>
    <font>
      <b/>
      <sz val="12"/>
      <color rgb="FF16A34A"/>
      <name val="Arial"/>
      <family val="2"/>
    </font>
    <font>
      <sz val="10"/>
      <color rgb="FFD97706"/>
      <name val="Arial"/>
      <family val="2"/>
    </font>
    <font>
      <sz val="10"/>
      <color rgb="FF2563EB"/>
      <name val="Arial"/>
      <family val="2"/>
    </font>
    <font>
      <b/>
      <sz val="10"/>
      <color rgb="FF1E293B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E293B"/>
        <bgColor rgb="FF0D1B2A"/>
      </patternFill>
    </fill>
    <fill>
      <patternFill patternType="solid">
        <fgColor rgb="FFF8FAFC"/>
        <bgColor rgb="FFF8FBFF"/>
      </patternFill>
    </fill>
    <fill>
      <patternFill patternType="solid">
        <fgColor rgb="FFFFF9C4"/>
        <bgColor rgb="FFFEF3C7"/>
      </patternFill>
    </fill>
    <fill>
      <patternFill patternType="solid">
        <fgColor rgb="FFFEF3C7"/>
        <bgColor rgb="FFFFF9C4"/>
      </patternFill>
    </fill>
    <fill>
      <patternFill patternType="solid">
        <fgColor rgb="FF0E7490"/>
        <bgColor rgb="FF0066CC"/>
      </patternFill>
    </fill>
    <fill>
      <patternFill patternType="solid">
        <fgColor rgb="FFCFFAFE"/>
        <bgColor rgb="FFDCFCE7"/>
      </patternFill>
    </fill>
    <fill>
      <patternFill patternType="solid">
        <fgColor rgb="FFF0FDFA"/>
        <bgColor rgb="FFF8FBFF"/>
      </patternFill>
    </fill>
    <fill>
      <patternFill patternType="solid">
        <fgColor rgb="FFDBEAFE"/>
        <bgColor rgb="FFEDE9FE"/>
      </patternFill>
    </fill>
    <fill>
      <patternFill patternType="solid">
        <fgColor rgb="FFF8FBFF"/>
        <bgColor rgb="FFF8FAFC"/>
      </patternFill>
    </fill>
    <fill>
      <patternFill patternType="solid">
        <fgColor rgb="FFEFF6FF"/>
        <bgColor rgb="FFF9F7FF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DBEAFE"/>
      </patternFill>
    </fill>
    <fill>
      <patternFill patternType="solid">
        <fgColor rgb="FFF9F7FF"/>
        <bgColor rgb="FFF8FAFC"/>
      </patternFill>
    </fill>
    <fill>
      <patternFill patternType="solid">
        <fgColor rgb="FFD97706"/>
        <bgColor rgb="FFC9A84C"/>
      </patternFill>
    </fill>
    <fill>
      <patternFill patternType="solid">
        <fgColor rgb="FFFFFDF5"/>
        <bgColor rgb="FFFFFFFF"/>
      </patternFill>
    </fill>
    <fill>
      <patternFill patternType="solid">
        <fgColor rgb="FFDCFCE7"/>
        <bgColor rgb="FFCFFAFE"/>
      </patternFill>
    </fill>
    <fill>
      <patternFill patternType="solid">
        <fgColor rgb="FFFFE4E6"/>
        <bgColor rgb="FFEDE9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right" vertical="center" indent="1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165" fontId="5" fillId="5" borderId="1" xfId="0" applyNumberFormat="1" applyFont="1" applyFill="1" applyBorder="1" applyAlignment="1">
      <alignment horizontal="left" vertical="center" wrapText="1"/>
    </xf>
    <xf numFmtId="166" fontId="5" fillId="5" borderId="1" xfId="0" applyNumberFormat="1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165" fontId="8" fillId="10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right" vertical="center"/>
    </xf>
    <xf numFmtId="0" fontId="11" fillId="17" borderId="1" xfId="0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right" vertical="center"/>
    </xf>
    <xf numFmtId="166" fontId="1" fillId="2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15" fillId="4" borderId="1" xfId="0" applyFont="1" applyFill="1" applyBorder="1" applyAlignment="1">
      <alignment horizontal="left" vertical="center" wrapText="1"/>
    </xf>
    <xf numFmtId="166" fontId="16" fillId="6" borderId="1" xfId="0" applyNumberFormat="1" applyFont="1" applyFill="1" applyBorder="1" applyAlignment="1">
      <alignment horizontal="right" vertical="center"/>
    </xf>
    <xf numFmtId="164" fontId="8" fillId="12" borderId="1" xfId="0" applyNumberFormat="1" applyFont="1" applyFill="1" applyBorder="1" applyAlignment="1">
      <alignment horizontal="right" vertical="center"/>
    </xf>
    <xf numFmtId="0" fontId="17" fillId="18" borderId="1" xfId="0" applyFont="1" applyFill="1" applyBorder="1" applyAlignment="1">
      <alignment horizontal="left" vertical="center" wrapText="1"/>
    </xf>
    <xf numFmtId="166" fontId="18" fillId="18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left" vertical="center" wrapText="1"/>
    </xf>
    <xf numFmtId="166" fontId="19" fillId="19" borderId="1" xfId="0" applyNumberFormat="1" applyFont="1" applyFill="1" applyBorder="1" applyAlignment="1">
      <alignment horizontal="right" vertical="center"/>
    </xf>
    <xf numFmtId="0" fontId="20" fillId="19" borderId="1" xfId="0" applyFont="1" applyFill="1" applyBorder="1" applyAlignment="1">
      <alignment horizontal="left" vertical="center" wrapText="1"/>
    </xf>
    <xf numFmtId="166" fontId="21" fillId="19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 wrapText="1"/>
    </xf>
    <xf numFmtId="166" fontId="22" fillId="18" borderId="1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left" vertical="center" wrapText="1"/>
    </xf>
    <xf numFmtId="167" fontId="23" fillId="12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 wrapText="1"/>
    </xf>
    <xf numFmtId="167" fontId="24" fillId="12" borderId="1" xfId="0" applyNumberFormat="1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left" vertical="center" wrapText="1"/>
    </xf>
    <xf numFmtId="167" fontId="17" fillId="12" borderId="1" xfId="0" applyNumberFormat="1" applyFont="1" applyFill="1" applyBorder="1" applyAlignment="1">
      <alignment horizontal="right" vertical="center"/>
    </xf>
    <xf numFmtId="0" fontId="25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DF5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DE9FE"/>
      <rgbColor rgb="FF808080"/>
      <rgbColor rgb="FFF8FBFF"/>
      <rgbColor rgb="FF7C3AED"/>
      <rgbColor rgb="FFFFF9C4"/>
      <rgbColor rgb="FFCFFAFE"/>
      <rgbColor rgb="FF660066"/>
      <rgbColor rgb="FFFF8080"/>
      <rgbColor rgb="FF0066CC"/>
      <rgbColor rgb="FFCBD5E1"/>
      <rgbColor rgb="FF000080"/>
      <rgbColor rgb="FFFF00FF"/>
      <rgbColor rgb="FFF0FDFA"/>
      <rgbColor rgb="FF00FFFF"/>
      <rgbColor rgb="FF800080"/>
      <rgbColor rgb="FF800000"/>
      <rgbColor rgb="FF0D9488"/>
      <rgbColor rgb="FF0000FF"/>
      <rgbColor rgb="FF00CCFF"/>
      <rgbColor rgb="FFDCFCE7"/>
      <rgbColor rgb="FFDBEAFE"/>
      <rgbColor rgb="FFFEF3C7"/>
      <rgbColor rgb="FFEFF6FF"/>
      <rgbColor rgb="FFF9F7FF"/>
      <rgbColor rgb="FFF8FAFC"/>
      <rgbColor rgb="FFFFE4E6"/>
      <rgbColor rgb="FF2563EB"/>
      <rgbColor rgb="FF33CCCC"/>
      <rgbColor rgb="FF99CC00"/>
      <rgbColor rgb="FFFFCC00"/>
      <rgbColor rgb="FFC9A84C"/>
      <rgbColor rgb="FFD97706"/>
      <rgbColor rgb="FF64748B"/>
      <rgbColor rgb="FF94A3B8"/>
      <rgbColor rgb="FF003366"/>
      <rgbColor rgb="FF16A34A"/>
      <rgbColor rgb="FF0D1B2A"/>
      <rgbColor rgb="FF333300"/>
      <rgbColor rgb="FF9933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A1:G57"/>
  <sheetViews>
    <sheetView showGridLines="0" tabSelected="1" zoomScale="130" zoomScaleNormal="130" workbookViewId="0">
      <selection activeCell="F47" sqref="F47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24" customWidth="1"/>
    <col min="4" max="4" width="4" customWidth="1"/>
    <col min="5" max="5" width="32" customWidth="1"/>
    <col min="6" max="6" width="24" customWidth="1"/>
  </cols>
  <sheetData>
    <row r="1" spans="1:6" ht="36" customHeight="1" x14ac:dyDescent="0.2">
      <c r="A1" s="13" t="s">
        <v>0</v>
      </c>
      <c r="B1" s="13"/>
      <c r="C1" s="13"/>
      <c r="D1" s="13"/>
      <c r="E1" s="13"/>
      <c r="F1" s="13"/>
    </row>
    <row r="2" spans="1:6" ht="18" customHeight="1" x14ac:dyDescent="0.2">
      <c r="A2" s="12" t="s">
        <v>1</v>
      </c>
      <c r="B2" s="12"/>
      <c r="C2" s="12"/>
      <c r="D2" s="12"/>
      <c r="E2" s="12"/>
      <c r="F2" s="12"/>
    </row>
    <row r="3" spans="1:6" ht="6" customHeight="1" x14ac:dyDescent="0.2"/>
    <row r="4" spans="1:6" ht="21.75" customHeight="1" x14ac:dyDescent="0.2">
      <c r="A4" s="11" t="s">
        <v>2</v>
      </c>
      <c r="B4" s="11"/>
      <c r="C4" s="11"/>
      <c r="D4" s="11"/>
      <c r="E4" s="11"/>
      <c r="F4" s="11"/>
    </row>
    <row r="5" spans="1:6" ht="21.75" customHeight="1" x14ac:dyDescent="0.2">
      <c r="B5" s="14" t="s">
        <v>3</v>
      </c>
      <c r="C5" s="15"/>
      <c r="D5" s="14"/>
      <c r="E5" s="16" t="s">
        <v>4</v>
      </c>
    </row>
    <row r="6" spans="1:6" ht="21.75" customHeight="1" x14ac:dyDescent="0.2">
      <c r="B6" s="14" t="s">
        <v>5</v>
      </c>
      <c r="C6" s="15"/>
      <c r="D6" s="14"/>
      <c r="E6" s="16" t="s">
        <v>6</v>
      </c>
    </row>
    <row r="7" spans="1:6" ht="21.75" customHeight="1" x14ac:dyDescent="0.2">
      <c r="B7" s="14" t="s">
        <v>7</v>
      </c>
      <c r="C7" s="15"/>
      <c r="D7" s="14"/>
      <c r="E7" s="16" t="s">
        <v>8</v>
      </c>
    </row>
    <row r="8" spans="1:6" ht="21.75" customHeight="1" x14ac:dyDescent="0.2">
      <c r="B8" s="14" t="s">
        <v>9</v>
      </c>
      <c r="C8" s="15"/>
      <c r="D8" s="14"/>
      <c r="E8" s="16" t="s">
        <v>10</v>
      </c>
    </row>
    <row r="9" spans="1:6" ht="21.75" customHeight="1" x14ac:dyDescent="0.2">
      <c r="B9" s="14" t="s">
        <v>11</v>
      </c>
      <c r="C9" s="15"/>
      <c r="D9" s="14"/>
      <c r="E9" s="16" t="s">
        <v>12</v>
      </c>
    </row>
    <row r="10" spans="1:6" ht="21.75" customHeight="1" x14ac:dyDescent="0.2">
      <c r="B10" s="14" t="s">
        <v>13</v>
      </c>
      <c r="C10" s="15"/>
      <c r="D10" s="14"/>
      <c r="E10" s="16" t="s">
        <v>14</v>
      </c>
    </row>
    <row r="11" spans="1:6" ht="21.75" customHeight="1" x14ac:dyDescent="0.2">
      <c r="B11" s="14" t="s">
        <v>15</v>
      </c>
      <c r="C11" s="15"/>
      <c r="D11" s="14"/>
      <c r="E11" s="16" t="s">
        <v>16</v>
      </c>
    </row>
    <row r="12" spans="1:6" ht="21.75" customHeight="1" x14ac:dyDescent="0.2">
      <c r="B12" s="14" t="s">
        <v>17</v>
      </c>
      <c r="C12" s="15"/>
      <c r="D12" s="14"/>
      <c r="E12" s="16"/>
    </row>
    <row r="13" spans="1:6" ht="21.75" customHeight="1" x14ac:dyDescent="0.2">
      <c r="B13" s="14" t="s">
        <v>18</v>
      </c>
      <c r="C13" s="15"/>
      <c r="D13" s="14"/>
      <c r="E13" s="16" t="s">
        <v>19</v>
      </c>
    </row>
    <row r="14" spans="1:6" ht="21.75" customHeight="1" x14ac:dyDescent="0.2">
      <c r="B14" s="14" t="s">
        <v>20</v>
      </c>
      <c r="C14" s="15"/>
      <c r="D14" s="14"/>
      <c r="E14" s="16" t="s">
        <v>21</v>
      </c>
    </row>
    <row r="15" spans="1:6" ht="21.75" customHeight="1" x14ac:dyDescent="0.2">
      <c r="B15" s="14" t="s">
        <v>22</v>
      </c>
      <c r="C15" s="15"/>
      <c r="D15" s="14"/>
      <c r="E15" s="16" t="s">
        <v>23</v>
      </c>
    </row>
    <row r="16" spans="1:6" ht="21.75" customHeight="1" x14ac:dyDescent="0.2">
      <c r="B16" s="14" t="s">
        <v>24</v>
      </c>
      <c r="C16" s="15"/>
      <c r="D16" s="14"/>
      <c r="E16" s="16" t="s">
        <v>25</v>
      </c>
    </row>
    <row r="17" spans="1:6" ht="7.5" customHeight="1" x14ac:dyDescent="0.2"/>
    <row r="18" spans="1:6" ht="21.75" customHeight="1" x14ac:dyDescent="0.2">
      <c r="A18" s="11" t="s">
        <v>26</v>
      </c>
      <c r="B18" s="11"/>
      <c r="C18" s="11"/>
      <c r="D18" s="11"/>
      <c r="E18" s="11"/>
      <c r="F18" s="11"/>
    </row>
    <row r="19" spans="1:6" ht="21.75" customHeight="1" x14ac:dyDescent="0.2">
      <c r="B19" s="14" t="s">
        <v>27</v>
      </c>
      <c r="C19" s="17"/>
      <c r="E19" s="16" t="s">
        <v>28</v>
      </c>
    </row>
    <row r="20" spans="1:6" ht="21.75" customHeight="1" x14ac:dyDescent="0.2">
      <c r="B20" s="14" t="s">
        <v>29</v>
      </c>
      <c r="C20" s="18"/>
      <c r="E20" s="16" t="s">
        <v>8</v>
      </c>
    </row>
    <row r="21" spans="1:6" ht="21.75" customHeight="1" x14ac:dyDescent="0.2">
      <c r="B21" s="14" t="s">
        <v>30</v>
      </c>
      <c r="C21" s="19"/>
      <c r="E21" s="16" t="s">
        <v>31</v>
      </c>
    </row>
    <row r="22" spans="1:6" ht="21.75" customHeight="1" x14ac:dyDescent="0.2">
      <c r="B22" s="14" t="s">
        <v>32</v>
      </c>
      <c r="C22" s="18"/>
      <c r="E22" s="16" t="s">
        <v>33</v>
      </c>
    </row>
    <row r="23" spans="1:6" ht="21.75" customHeight="1" x14ac:dyDescent="0.2">
      <c r="B23" s="14" t="s">
        <v>34</v>
      </c>
      <c r="C23" s="18"/>
      <c r="E23" s="16" t="s">
        <v>35</v>
      </c>
    </row>
    <row r="24" spans="1:6" ht="21.75" customHeight="1" x14ac:dyDescent="0.2">
      <c r="B24" s="14" t="s">
        <v>36</v>
      </c>
      <c r="C24" s="18"/>
      <c r="E24" s="16" t="s">
        <v>37</v>
      </c>
    </row>
    <row r="25" spans="1:6" ht="21.75" customHeight="1" x14ac:dyDescent="0.2">
      <c r="B25" s="14" t="s">
        <v>38</v>
      </c>
      <c r="C25" s="18"/>
      <c r="E25" s="16" t="s">
        <v>39</v>
      </c>
    </row>
    <row r="26" spans="1:6" ht="21.75" customHeight="1" x14ac:dyDescent="0.2">
      <c r="B26" s="20" t="s">
        <v>40</v>
      </c>
      <c r="C26" s="21">
        <f>C18+C19+C20+C21+C22+C23</f>
        <v>0</v>
      </c>
      <c r="E26" s="16" t="s">
        <v>41</v>
      </c>
    </row>
    <row r="27" spans="1:6" ht="21.75" customHeight="1" x14ac:dyDescent="0.2">
      <c r="B27" s="20" t="s">
        <v>42</v>
      </c>
      <c r="C27" s="22">
        <f>C24/1.95583</f>
        <v>0</v>
      </c>
      <c r="E27" s="16" t="s">
        <v>43</v>
      </c>
    </row>
    <row r="29" spans="1:6" ht="7.5" customHeight="1" x14ac:dyDescent="0.2"/>
    <row r="30" spans="1:6" ht="21.75" customHeight="1" x14ac:dyDescent="0.2">
      <c r="A30" s="11" t="s">
        <v>44</v>
      </c>
      <c r="B30" s="11"/>
      <c r="C30" s="11"/>
      <c r="D30" s="11"/>
      <c r="E30" s="11"/>
      <c r="F30" s="11"/>
    </row>
    <row r="31" spans="1:6" ht="21.75" customHeight="1" x14ac:dyDescent="0.2">
      <c r="B31" s="14" t="s">
        <v>45</v>
      </c>
      <c r="C31" s="15" t="s">
        <v>202</v>
      </c>
      <c r="E31" s="16" t="s">
        <v>46</v>
      </c>
    </row>
    <row r="32" spans="1:6" ht="21.75" customHeight="1" x14ac:dyDescent="0.2">
      <c r="B32" s="14" t="s">
        <v>47</v>
      </c>
      <c r="C32" s="15" t="s">
        <v>283</v>
      </c>
      <c r="E32" s="16" t="s">
        <v>48</v>
      </c>
    </row>
    <row r="33" spans="1:7" ht="21.75" customHeight="1" x14ac:dyDescent="0.2">
      <c r="B33" s="14" t="s">
        <v>49</v>
      </c>
      <c r="C33" s="15" t="s">
        <v>284</v>
      </c>
      <c r="E33" s="16" t="s">
        <v>50</v>
      </c>
    </row>
    <row r="34" spans="1:7" ht="21.75" customHeight="1" x14ac:dyDescent="0.2">
      <c r="B34" s="14" t="s">
        <v>51</v>
      </c>
      <c r="C34" s="15"/>
      <c r="E34" s="16" t="s">
        <v>52</v>
      </c>
    </row>
    <row r="35" spans="1:7" ht="21.75" customHeight="1" x14ac:dyDescent="0.2">
      <c r="B35" s="14" t="s">
        <v>53</v>
      </c>
      <c r="C35" s="15"/>
      <c r="E35" s="16" t="s">
        <v>54</v>
      </c>
    </row>
    <row r="36" spans="1:7" ht="21.75" customHeight="1" x14ac:dyDescent="0.2">
      <c r="B36" s="14" t="s">
        <v>55</v>
      </c>
      <c r="C36" s="15"/>
      <c r="E36" s="16" t="s">
        <v>56</v>
      </c>
    </row>
    <row r="37" spans="1:7" ht="21.75" customHeight="1" x14ac:dyDescent="0.2">
      <c r="B37" s="14" t="s">
        <v>57</v>
      </c>
      <c r="C37" s="15"/>
      <c r="E37" s="16" t="s">
        <v>58</v>
      </c>
    </row>
    <row r="38" spans="1:7" ht="21.75" customHeight="1" x14ac:dyDescent="0.2">
      <c r="B38" s="14" t="s">
        <v>59</v>
      </c>
      <c r="C38" s="15"/>
      <c r="E38" s="16" t="s">
        <v>60</v>
      </c>
    </row>
    <row r="39" spans="1:7" ht="21.75" customHeight="1" x14ac:dyDescent="0.2">
      <c r="B39" s="14" t="s">
        <v>61</v>
      </c>
      <c r="C39" s="15"/>
      <c r="E39" s="16" t="s">
        <v>62</v>
      </c>
    </row>
    <row r="40" spans="1:7" ht="21.75" customHeight="1" x14ac:dyDescent="0.2">
      <c r="B40" s="14" t="s">
        <v>63</v>
      </c>
      <c r="C40" s="15"/>
      <c r="E40" s="16" t="s">
        <v>64</v>
      </c>
    </row>
    <row r="41" spans="1:7" ht="21.75" customHeight="1" x14ac:dyDescent="0.2">
      <c r="B41" s="14" t="s">
        <v>65</v>
      </c>
      <c r="C41" s="15"/>
      <c r="E41" s="16" t="s">
        <v>66</v>
      </c>
    </row>
    <row r="42" spans="1:7" ht="21.75" customHeight="1" x14ac:dyDescent="0.2">
      <c r="B42" s="14" t="s">
        <v>67</v>
      </c>
      <c r="C42" s="15"/>
      <c r="E42" s="16" t="s">
        <v>68</v>
      </c>
    </row>
    <row r="44" spans="1:7" ht="7.5" customHeight="1" x14ac:dyDescent="0.2"/>
    <row r="45" spans="1:7" ht="21.75" customHeight="1" x14ac:dyDescent="0.2">
      <c r="A45" s="11" t="s">
        <v>69</v>
      </c>
      <c r="B45" s="11"/>
      <c r="C45" s="11"/>
      <c r="D45" s="11"/>
      <c r="E45" s="11"/>
      <c r="F45" s="11"/>
    </row>
    <row r="46" spans="1:7" ht="19.5" customHeight="1" x14ac:dyDescent="0.2">
      <c r="B46" s="23" t="s">
        <v>70</v>
      </c>
      <c r="C46" s="23" t="s">
        <v>71</v>
      </c>
      <c r="D46" s="23" t="s">
        <v>72</v>
      </c>
      <c r="E46" s="23" t="s">
        <v>73</v>
      </c>
      <c r="F46" s="23" t="s">
        <v>74</v>
      </c>
      <c r="G46" s="23" t="s">
        <v>75</v>
      </c>
    </row>
    <row r="47" spans="1:7" ht="21.75" customHeight="1" x14ac:dyDescent="0.2">
      <c r="B47" s="24" t="s">
        <v>76</v>
      </c>
      <c r="C47" s="15"/>
      <c r="D47" s="25" t="s">
        <v>77</v>
      </c>
      <c r="E47" s="15"/>
      <c r="F47" s="15"/>
      <c r="G47" s="25" t="s">
        <v>78</v>
      </c>
    </row>
    <row r="48" spans="1:7" ht="21.75" customHeight="1" x14ac:dyDescent="0.2">
      <c r="B48" s="26" t="s">
        <v>79</v>
      </c>
      <c r="C48" s="15"/>
      <c r="D48" s="27" t="s">
        <v>80</v>
      </c>
      <c r="E48" s="15"/>
      <c r="F48" s="15"/>
      <c r="G48" s="27" t="s">
        <v>81</v>
      </c>
    </row>
    <row r="49" spans="2:7" ht="21.75" customHeight="1" x14ac:dyDescent="0.2">
      <c r="B49" s="24" t="s">
        <v>82</v>
      </c>
      <c r="C49" s="15"/>
      <c r="D49" s="25" t="s">
        <v>83</v>
      </c>
      <c r="E49" s="15"/>
      <c r="F49" s="15"/>
      <c r="G49" s="15"/>
    </row>
    <row r="50" spans="2:7" ht="21.75" customHeight="1" x14ac:dyDescent="0.2">
      <c r="B50" s="26" t="s">
        <v>84</v>
      </c>
      <c r="C50" s="15"/>
      <c r="D50" s="27" t="s">
        <v>85</v>
      </c>
      <c r="E50" s="15"/>
      <c r="F50" s="15"/>
      <c r="G50" s="27" t="s">
        <v>86</v>
      </c>
    </row>
    <row r="51" spans="2:7" ht="21.75" customHeight="1" x14ac:dyDescent="0.2">
      <c r="B51" s="24" t="s">
        <v>87</v>
      </c>
      <c r="C51" s="15"/>
      <c r="D51" s="25" t="s">
        <v>88</v>
      </c>
      <c r="E51" s="15"/>
      <c r="F51" s="15"/>
      <c r="G51" s="25" t="s">
        <v>89</v>
      </c>
    </row>
    <row r="52" spans="2:7" ht="21.75" customHeight="1" x14ac:dyDescent="0.2">
      <c r="B52" s="26" t="s">
        <v>90</v>
      </c>
      <c r="C52" s="15"/>
      <c r="D52" s="27" t="s">
        <v>91</v>
      </c>
      <c r="E52" s="15"/>
      <c r="F52" s="15"/>
      <c r="G52" s="27" t="s">
        <v>92</v>
      </c>
    </row>
    <row r="53" spans="2:7" ht="21.75" customHeight="1" x14ac:dyDescent="0.2">
      <c r="B53" s="24" t="s">
        <v>93</v>
      </c>
      <c r="C53" s="15"/>
      <c r="D53" s="25" t="s">
        <v>94</v>
      </c>
      <c r="E53" s="15"/>
      <c r="F53" s="15"/>
      <c r="G53" s="25" t="s">
        <v>95</v>
      </c>
    </row>
    <row r="54" spans="2:7" ht="21.75" customHeight="1" x14ac:dyDescent="0.2">
      <c r="B54" s="26" t="s">
        <v>96</v>
      </c>
      <c r="C54" s="15"/>
      <c r="D54" s="15"/>
      <c r="E54" s="15"/>
      <c r="F54" s="15"/>
      <c r="G54" s="15"/>
    </row>
    <row r="55" spans="2:7" ht="21.75" customHeight="1" x14ac:dyDescent="0.2">
      <c r="B55" s="24" t="s">
        <v>97</v>
      </c>
      <c r="C55" s="15"/>
      <c r="D55" s="15"/>
      <c r="E55" s="15"/>
      <c r="F55" s="15"/>
      <c r="G55" s="15"/>
    </row>
    <row r="56" spans="2:7" ht="21.75" customHeight="1" x14ac:dyDescent="0.2">
      <c r="B56" s="26" t="s">
        <v>98</v>
      </c>
      <c r="C56" s="15"/>
      <c r="D56" s="27" t="s">
        <v>99</v>
      </c>
      <c r="E56" s="15"/>
      <c r="F56" s="15"/>
      <c r="G56" s="27" t="s">
        <v>100</v>
      </c>
    </row>
    <row r="57" spans="2:7" ht="21.75" customHeight="1" x14ac:dyDescent="0.2">
      <c r="B57" s="24" t="s">
        <v>101</v>
      </c>
      <c r="C57" s="15"/>
      <c r="D57" s="25" t="s">
        <v>102</v>
      </c>
      <c r="E57" s="15"/>
      <c r="F57" s="15"/>
      <c r="G57" s="25" t="s">
        <v>103</v>
      </c>
    </row>
  </sheetData>
  <mergeCells count="6">
    <mergeCell ref="A45:F45"/>
    <mergeCell ref="A1:F1"/>
    <mergeCell ref="A2:F2"/>
    <mergeCell ref="A4:F4"/>
    <mergeCell ref="A18:F18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H39"/>
  <sheetViews>
    <sheetView showGridLines="0" zoomScale="110" zoomScaleNormal="110" workbookViewId="0">
      <pane ySplit="4" topLeftCell="A19" activePane="bottomLeft" state="frozen"/>
      <selection pane="bottomLeft" activeCell="B30" sqref="B30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7" width="16" customWidth="1"/>
    <col min="8" max="8" width="18" customWidth="1"/>
  </cols>
  <sheetData>
    <row r="1" spans="1:8" ht="36" customHeight="1" x14ac:dyDescent="0.2">
      <c r="A1" s="13" t="s">
        <v>104</v>
      </c>
      <c r="B1" s="13"/>
      <c r="C1" s="13"/>
      <c r="D1" s="13"/>
      <c r="E1" s="13"/>
      <c r="F1" s="13"/>
      <c r="G1" s="13"/>
      <c r="H1" s="13"/>
    </row>
    <row r="2" spans="1:8" ht="18" customHeight="1" x14ac:dyDescent="0.2">
      <c r="A2" s="12" t="s">
        <v>105</v>
      </c>
      <c r="B2" s="12"/>
      <c r="C2" s="12"/>
      <c r="D2" s="12"/>
      <c r="E2" s="12"/>
      <c r="F2" s="12"/>
      <c r="G2" s="12"/>
      <c r="H2" s="12"/>
    </row>
    <row r="3" spans="1:8" ht="6" customHeight="1" x14ac:dyDescent="0.2"/>
    <row r="4" spans="1:8" ht="21.75" customHeight="1" x14ac:dyDescent="0.2">
      <c r="A4" s="11" t="s">
        <v>106</v>
      </c>
      <c r="B4" s="11"/>
      <c r="C4" s="11"/>
      <c r="D4" s="11"/>
      <c r="E4" s="11"/>
      <c r="F4" s="11"/>
      <c r="G4" s="11"/>
      <c r="H4" s="11"/>
    </row>
    <row r="5" spans="1:8" ht="21.75" customHeight="1" x14ac:dyDescent="0.2">
      <c r="B5" s="14" t="s">
        <v>107</v>
      </c>
      <c r="C5" s="19"/>
    </row>
    <row r="6" spans="1:8" ht="21.75" customHeight="1" x14ac:dyDescent="0.2">
      <c r="B6" s="14" t="s">
        <v>108</v>
      </c>
      <c r="C6" s="15"/>
    </row>
    <row r="7" spans="1:8" ht="21.75" customHeight="1" x14ac:dyDescent="0.2">
      <c r="B7" s="14" t="s">
        <v>109</v>
      </c>
      <c r="C7" s="15"/>
    </row>
    <row r="8" spans="1:8" ht="21.75" customHeight="1" x14ac:dyDescent="0.2">
      <c r="B8" s="14" t="s">
        <v>110</v>
      </c>
      <c r="C8" s="15"/>
    </row>
    <row r="9" spans="1:8" ht="21.75" customHeight="1" x14ac:dyDescent="0.2">
      <c r="B9" s="14" t="s">
        <v>111</v>
      </c>
      <c r="C9" s="15"/>
    </row>
    <row r="10" spans="1:8" ht="21.75" customHeight="1" x14ac:dyDescent="0.2">
      <c r="B10" s="14" t="s">
        <v>112</v>
      </c>
      <c r="C10" s="15"/>
      <c r="D10" s="10" t="s">
        <v>113</v>
      </c>
      <c r="E10" s="10"/>
      <c r="F10" s="10"/>
      <c r="G10" s="10"/>
      <c r="H10" s="10"/>
    </row>
    <row r="11" spans="1:8" ht="21.75" customHeight="1" x14ac:dyDescent="0.2">
      <c r="B11" s="14" t="s">
        <v>114</v>
      </c>
      <c r="C11" s="15"/>
      <c r="D11" s="10" t="s">
        <v>115</v>
      </c>
      <c r="E11" s="10"/>
      <c r="F11" s="10"/>
      <c r="G11" s="10"/>
      <c r="H11" s="10"/>
    </row>
    <row r="12" spans="1:8" ht="21.75" customHeight="1" x14ac:dyDescent="0.2">
      <c r="B12" s="14" t="s">
        <v>116</v>
      </c>
      <c r="C12" s="17"/>
      <c r="D12" s="10" t="s">
        <v>117</v>
      </c>
      <c r="E12" s="10"/>
      <c r="F12" s="10"/>
      <c r="G12" s="10"/>
      <c r="H12" s="10"/>
    </row>
    <row r="13" spans="1:8" ht="21.75" customHeight="1" x14ac:dyDescent="0.2">
      <c r="B13" s="14" t="s">
        <v>118</v>
      </c>
      <c r="C13" s="17"/>
      <c r="D13" s="10" t="s">
        <v>117</v>
      </c>
      <c r="E13" s="10"/>
      <c r="F13" s="10"/>
      <c r="G13" s="10"/>
      <c r="H13" s="10"/>
    </row>
    <row r="14" spans="1:8" ht="21.75" customHeight="1" x14ac:dyDescent="0.2">
      <c r="B14" s="14" t="s">
        <v>119</v>
      </c>
      <c r="C14" s="19">
        <v>600</v>
      </c>
    </row>
    <row r="15" spans="1:8" ht="21.75" customHeight="1" x14ac:dyDescent="0.2">
      <c r="B15" s="14" t="s">
        <v>120</v>
      </c>
      <c r="C15" s="28">
        <f>IF(C14="","",C14*1.95583)</f>
        <v>1173.498</v>
      </c>
      <c r="D15" s="10" t="s">
        <v>121</v>
      </c>
      <c r="E15" s="10"/>
      <c r="F15" s="10"/>
      <c r="G15" s="10"/>
      <c r="H15" s="10"/>
    </row>
    <row r="16" spans="1:8" ht="21.75" customHeight="1" x14ac:dyDescent="0.2">
      <c r="B16" s="14" t="s">
        <v>122</v>
      </c>
      <c r="C16" s="15">
        <v>5</v>
      </c>
      <c r="D16" s="10" t="s">
        <v>123</v>
      </c>
      <c r="E16" s="10"/>
      <c r="F16" s="10"/>
      <c r="G16" s="10"/>
      <c r="H16" s="10"/>
    </row>
    <row r="17" spans="1:8" ht="21.75" customHeight="1" x14ac:dyDescent="0.2">
      <c r="B17" s="14" t="s">
        <v>124</v>
      </c>
      <c r="C17" s="19"/>
    </row>
    <row r="18" spans="1:8" ht="21.75" customHeight="1" x14ac:dyDescent="0.2">
      <c r="B18" s="14" t="s">
        <v>125</v>
      </c>
      <c r="C18" s="19">
        <v>1200</v>
      </c>
    </row>
    <row r="19" spans="1:8" ht="21.75" customHeight="1" x14ac:dyDescent="0.2">
      <c r="B19" s="14" t="s">
        <v>126</v>
      </c>
      <c r="C19" s="17"/>
      <c r="D19" s="10" t="s">
        <v>117</v>
      </c>
      <c r="E19" s="10"/>
      <c r="F19" s="10"/>
      <c r="G19" s="10"/>
      <c r="H19" s="10"/>
    </row>
    <row r="20" spans="1:8" ht="21.75" customHeight="1" x14ac:dyDescent="0.2">
      <c r="B20" s="14" t="s">
        <v>127</v>
      </c>
      <c r="C20" s="15">
        <v>600</v>
      </c>
    </row>
    <row r="21" spans="1:8" ht="21.75" customHeight="1" x14ac:dyDescent="0.2">
      <c r="B21" s="14" t="s">
        <v>128</v>
      </c>
      <c r="C21" s="17">
        <v>46112</v>
      </c>
      <c r="D21" s="10" t="s">
        <v>117</v>
      </c>
      <c r="E21" s="10"/>
      <c r="F21" s="10"/>
      <c r="G21" s="10"/>
      <c r="H21" s="10"/>
    </row>
    <row r="22" spans="1:8" ht="21.75" customHeight="1" x14ac:dyDescent="0.2">
      <c r="B22" s="14" t="s">
        <v>129</v>
      </c>
      <c r="C22" s="15">
        <v>2</v>
      </c>
    </row>
    <row r="23" spans="1:8" ht="21.75" customHeight="1" x14ac:dyDescent="0.2">
      <c r="B23" s="14" t="s">
        <v>130</v>
      </c>
      <c r="C23" s="15" t="s">
        <v>131</v>
      </c>
      <c r="D23" s="10" t="s">
        <v>132</v>
      </c>
      <c r="E23" s="10"/>
      <c r="F23" s="10"/>
      <c r="G23" s="10"/>
      <c r="H23" s="10"/>
    </row>
    <row r="24" spans="1:8" ht="21.75" customHeight="1" x14ac:dyDescent="0.2">
      <c r="B24" s="14" t="s">
        <v>133</v>
      </c>
      <c r="C24" s="15" t="s">
        <v>131</v>
      </c>
      <c r="D24" s="10" t="s">
        <v>134</v>
      </c>
      <c r="E24" s="10"/>
      <c r="F24" s="10"/>
      <c r="G24" s="10"/>
      <c r="H24" s="10"/>
    </row>
    <row r="25" spans="1:8" ht="21.75" customHeight="1" x14ac:dyDescent="0.2">
      <c r="B25" s="14" t="s">
        <v>135</v>
      </c>
      <c r="C25" s="19" t="s">
        <v>131</v>
      </c>
      <c r="D25" s="10" t="s">
        <v>134</v>
      </c>
      <c r="E25" s="10"/>
      <c r="F25" s="10"/>
      <c r="G25" s="10"/>
      <c r="H25" s="10"/>
    </row>
    <row r="26" spans="1:8" ht="21.75" customHeight="1" x14ac:dyDescent="0.2">
      <c r="B26" s="14" t="s">
        <v>75</v>
      </c>
      <c r="C26" s="15"/>
    </row>
    <row r="27" spans="1:8" ht="7.5" customHeight="1" x14ac:dyDescent="0.2"/>
    <row r="28" spans="1:8" ht="21.75" customHeight="1" x14ac:dyDescent="0.2">
      <c r="A28" s="11" t="s">
        <v>136</v>
      </c>
      <c r="B28" s="11"/>
      <c r="C28" s="11"/>
      <c r="D28" s="11"/>
      <c r="E28" s="11"/>
      <c r="F28" s="11"/>
      <c r="G28" s="11"/>
      <c r="H28" s="11"/>
    </row>
    <row r="29" spans="1:8" ht="25.5" customHeight="1" x14ac:dyDescent="0.2">
      <c r="A29" s="29" t="s">
        <v>137</v>
      </c>
      <c r="B29" s="29" t="s">
        <v>138</v>
      </c>
      <c r="C29" s="29" t="s">
        <v>139</v>
      </c>
      <c r="D29" s="29" t="s">
        <v>140</v>
      </c>
      <c r="E29" s="29" t="s">
        <v>141</v>
      </c>
      <c r="F29" s="29" t="s">
        <v>142</v>
      </c>
      <c r="G29" s="29" t="s">
        <v>143</v>
      </c>
      <c r="H29" s="29" t="s">
        <v>75</v>
      </c>
    </row>
    <row r="30" spans="1:8" ht="19.5" customHeight="1" x14ac:dyDescent="0.2">
      <c r="A30" s="30">
        <v>1</v>
      </c>
      <c r="B30" s="15"/>
      <c r="C30" s="17"/>
      <c r="D30" s="17"/>
      <c r="E30" s="19"/>
      <c r="F30" s="19"/>
      <c r="G30" s="15"/>
      <c r="H30" s="15"/>
    </row>
    <row r="31" spans="1:8" ht="19.5" customHeight="1" x14ac:dyDescent="0.2">
      <c r="A31" s="31">
        <v>2</v>
      </c>
      <c r="B31" s="15"/>
      <c r="C31" s="17"/>
      <c r="D31" s="17"/>
      <c r="E31" s="19"/>
      <c r="F31" s="19"/>
      <c r="G31" s="15"/>
      <c r="H31" s="15"/>
    </row>
    <row r="32" spans="1:8" ht="19.5" customHeight="1" x14ac:dyDescent="0.2">
      <c r="A32" s="30">
        <v>3</v>
      </c>
      <c r="B32" s="15"/>
      <c r="C32" s="17"/>
      <c r="D32" s="17"/>
      <c r="E32" s="19"/>
      <c r="F32" s="19"/>
      <c r="G32" s="15"/>
      <c r="H32" s="15"/>
    </row>
    <row r="33" spans="1:8" ht="19.5" customHeight="1" x14ac:dyDescent="0.2">
      <c r="A33" s="31">
        <v>4</v>
      </c>
      <c r="B33" s="15"/>
      <c r="C33" s="17"/>
      <c r="D33" s="17"/>
      <c r="E33" s="19"/>
      <c r="F33" s="19"/>
      <c r="G33" s="15"/>
      <c r="H33" s="15"/>
    </row>
    <row r="34" spans="1:8" ht="19.5" customHeight="1" x14ac:dyDescent="0.2">
      <c r="A34" s="30">
        <v>5</v>
      </c>
      <c r="B34" s="15"/>
      <c r="C34" s="17"/>
      <c r="D34" s="17"/>
      <c r="E34" s="19"/>
      <c r="F34" s="19"/>
      <c r="G34" s="15"/>
      <c r="H34" s="15"/>
    </row>
    <row r="35" spans="1:8" ht="19.5" customHeight="1" x14ac:dyDescent="0.2">
      <c r="A35" s="31">
        <v>6</v>
      </c>
      <c r="B35" s="15"/>
      <c r="C35" s="17"/>
      <c r="D35" s="17"/>
      <c r="E35" s="19"/>
      <c r="F35" s="19"/>
      <c r="G35" s="15"/>
      <c r="H35" s="15"/>
    </row>
    <row r="36" spans="1:8" ht="19.5" customHeight="1" x14ac:dyDescent="0.2">
      <c r="A36" s="30">
        <v>7</v>
      </c>
      <c r="B36" s="15"/>
      <c r="C36" s="17"/>
      <c r="D36" s="17"/>
      <c r="E36" s="19"/>
      <c r="F36" s="19"/>
      <c r="G36" s="15"/>
      <c r="H36" s="15"/>
    </row>
    <row r="37" spans="1:8" ht="19.5" customHeight="1" x14ac:dyDescent="0.2">
      <c r="A37" s="31">
        <v>8</v>
      </c>
      <c r="B37" s="15"/>
      <c r="C37" s="17"/>
      <c r="D37" s="17"/>
      <c r="E37" s="19"/>
      <c r="F37" s="19"/>
      <c r="G37" s="15"/>
      <c r="H37" s="15"/>
    </row>
    <row r="38" spans="1:8" ht="19.5" customHeight="1" x14ac:dyDescent="0.2">
      <c r="A38" s="30">
        <v>9</v>
      </c>
      <c r="B38" s="15"/>
      <c r="C38" s="17"/>
      <c r="D38" s="17"/>
      <c r="E38" s="19"/>
      <c r="F38" s="19"/>
      <c r="G38" s="15"/>
      <c r="H38" s="15"/>
    </row>
    <row r="39" spans="1:8" ht="19.5" customHeight="1" x14ac:dyDescent="0.2">
      <c r="A39" s="31">
        <v>10</v>
      </c>
      <c r="B39" s="15"/>
      <c r="C39" s="17"/>
      <c r="D39" s="17"/>
      <c r="E39" s="19"/>
      <c r="F39" s="19"/>
      <c r="G39" s="15"/>
      <c r="H39" s="15"/>
    </row>
  </sheetData>
  <mergeCells count="15">
    <mergeCell ref="D21:H21"/>
    <mergeCell ref="D23:H23"/>
    <mergeCell ref="D24:H24"/>
    <mergeCell ref="D25:H25"/>
    <mergeCell ref="A28:H28"/>
    <mergeCell ref="D12:H12"/>
    <mergeCell ref="D13:H13"/>
    <mergeCell ref="D15:H15"/>
    <mergeCell ref="D16:H16"/>
    <mergeCell ref="D19:H19"/>
    <mergeCell ref="A1:H1"/>
    <mergeCell ref="A2:H2"/>
    <mergeCell ref="A4:H4"/>
    <mergeCell ref="D10:H10"/>
    <mergeCell ref="D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J43"/>
  <sheetViews>
    <sheetView showGridLines="0" zoomScaleNormal="100" workbookViewId="0">
      <pane ySplit="4" topLeftCell="A5" activePane="bottomLeft" state="frozen"/>
      <selection pane="bottomLeft" activeCell="J8" sqref="J8"/>
    </sheetView>
  </sheetViews>
  <sheetFormatPr baseColWidth="10" defaultColWidth="8.6640625" defaultRowHeight="15" x14ac:dyDescent="0.2"/>
  <cols>
    <col min="1" max="1" width="5" customWidth="1"/>
    <col min="2" max="6" width="14" customWidth="1"/>
    <col min="7" max="7" width="16" customWidth="1"/>
    <col min="8" max="8" width="14" customWidth="1"/>
    <col min="9" max="9" width="16" customWidth="1"/>
    <col min="10" max="10" width="20" customWidth="1"/>
  </cols>
  <sheetData>
    <row r="1" spans="1:10" ht="36" customHeight="1" x14ac:dyDescent="0.2">
      <c r="A1" s="13" t="s">
        <v>144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">
      <c r="A2" s="12" t="s">
        <v>145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" customHeight="1" x14ac:dyDescent="0.2"/>
    <row r="4" spans="1:10" ht="19.5" customHeight="1" x14ac:dyDescent="0.2">
      <c r="A4" s="9" t="s">
        <v>146</v>
      </c>
      <c r="B4" s="9"/>
      <c r="C4" s="9" t="s">
        <v>147</v>
      </c>
      <c r="D4" s="9"/>
      <c r="E4" s="9" t="s">
        <v>148</v>
      </c>
      <c r="F4" s="9"/>
      <c r="G4" s="9" t="s">
        <v>149</v>
      </c>
      <c r="H4" s="9"/>
      <c r="I4" s="9" t="s">
        <v>150</v>
      </c>
      <c r="J4" s="9"/>
    </row>
    <row r="5" spans="1:10" ht="25.5" customHeight="1" x14ac:dyDescent="0.2">
      <c r="A5" s="8">
        <f>IFERROR(SUM(D8:D500),0)</f>
        <v>600</v>
      </c>
      <c r="B5" s="8"/>
      <c r="C5" s="8">
        <f>IFERROR(SUM(F8:F500),0)</f>
        <v>600</v>
      </c>
      <c r="D5" s="8"/>
      <c r="E5" s="8">
        <f ca="1">IFERROR(C5-E5,0)</f>
        <v>0</v>
      </c>
      <c r="F5" s="8"/>
      <c r="G5" s="7">
        <f>IFERROR(COUNTA(B8:B500),0)</f>
        <v>1</v>
      </c>
      <c r="H5" s="7"/>
      <c r="I5" s="7">
        <f>IFERROR(COUNTIF(H8:H500,"&gt;0"),0)</f>
        <v>1</v>
      </c>
      <c r="J5" s="7"/>
    </row>
    <row r="6" spans="1:10" ht="6" customHeight="1" x14ac:dyDescent="0.2"/>
    <row r="7" spans="1:10" ht="25.5" customHeight="1" x14ac:dyDescent="0.2">
      <c r="A7" s="23" t="s">
        <v>137</v>
      </c>
      <c r="B7" s="23" t="s">
        <v>151</v>
      </c>
      <c r="C7" s="23" t="s">
        <v>152</v>
      </c>
      <c r="D7" s="23" t="s">
        <v>153</v>
      </c>
      <c r="E7" s="23" t="s">
        <v>154</v>
      </c>
      <c r="F7" s="23" t="s">
        <v>155</v>
      </c>
      <c r="G7" s="23" t="s">
        <v>156</v>
      </c>
      <c r="H7" s="23" t="s">
        <v>157</v>
      </c>
      <c r="I7" s="23" t="s">
        <v>158</v>
      </c>
      <c r="J7" s="23" t="s">
        <v>75</v>
      </c>
    </row>
    <row r="8" spans="1:10" ht="19.5" customHeight="1" x14ac:dyDescent="0.2">
      <c r="A8" s="32">
        <v>1</v>
      </c>
      <c r="B8" s="15">
        <v>1</v>
      </c>
      <c r="C8" s="33">
        <v>46117</v>
      </c>
      <c r="D8" s="34">
        <v>600</v>
      </c>
      <c r="E8" s="35" t="s">
        <v>260</v>
      </c>
      <c r="F8" s="34">
        <v>600</v>
      </c>
      <c r="G8" s="33">
        <v>46122</v>
      </c>
      <c r="H8" s="36">
        <f t="shared" ref="H8:H43" si="0">IFERROR(IF(G8="","",MAX(0,G8-C8)),"")</f>
        <v>5</v>
      </c>
      <c r="I8" s="15"/>
      <c r="J8" s="15"/>
    </row>
    <row r="9" spans="1:10" ht="19.5" customHeight="1" x14ac:dyDescent="0.2">
      <c r="A9" s="37">
        <v>2</v>
      </c>
      <c r="B9" s="15"/>
      <c r="C9" s="33">
        <v>46147</v>
      </c>
      <c r="D9" s="34"/>
      <c r="E9" s="35"/>
      <c r="F9" s="34"/>
      <c r="G9" s="33"/>
      <c r="H9" s="36" t="str">
        <f t="shared" si="0"/>
        <v/>
      </c>
      <c r="I9" s="15"/>
      <c r="J9" s="15"/>
    </row>
    <row r="10" spans="1:10" ht="19.5" customHeight="1" x14ac:dyDescent="0.2">
      <c r="A10" s="32">
        <v>3</v>
      </c>
      <c r="B10" s="15"/>
      <c r="C10" s="33">
        <v>46178</v>
      </c>
      <c r="D10" s="34"/>
      <c r="E10" s="35"/>
      <c r="F10" s="34"/>
      <c r="G10" s="33"/>
      <c r="H10" s="36" t="str">
        <f t="shared" si="0"/>
        <v/>
      </c>
      <c r="I10" s="15"/>
      <c r="J10" s="15"/>
    </row>
    <row r="11" spans="1:10" ht="19.5" customHeight="1" x14ac:dyDescent="0.2">
      <c r="A11" s="37">
        <v>4</v>
      </c>
      <c r="B11" s="15"/>
      <c r="C11" s="33"/>
      <c r="D11" s="34"/>
      <c r="E11" s="35"/>
      <c r="F11" s="34"/>
      <c r="G11" s="33"/>
      <c r="H11" s="36" t="str">
        <f t="shared" si="0"/>
        <v/>
      </c>
      <c r="I11" s="15"/>
      <c r="J11" s="15"/>
    </row>
    <row r="12" spans="1:10" ht="19.5" customHeight="1" x14ac:dyDescent="0.2">
      <c r="A12" s="32">
        <v>5</v>
      </c>
      <c r="B12" s="15"/>
      <c r="C12" s="33"/>
      <c r="D12" s="34"/>
      <c r="E12" s="35"/>
      <c r="F12" s="34"/>
      <c r="G12" s="33"/>
      <c r="H12" s="36" t="str">
        <f t="shared" si="0"/>
        <v/>
      </c>
      <c r="I12" s="15"/>
      <c r="J12" s="15"/>
    </row>
    <row r="13" spans="1:10" ht="19.5" customHeight="1" x14ac:dyDescent="0.2">
      <c r="A13" s="37">
        <v>6</v>
      </c>
      <c r="B13" s="15"/>
      <c r="C13" s="33"/>
      <c r="D13" s="34"/>
      <c r="E13" s="35"/>
      <c r="F13" s="34"/>
      <c r="G13" s="33"/>
      <c r="H13" s="36" t="str">
        <f t="shared" si="0"/>
        <v/>
      </c>
      <c r="I13" s="15"/>
      <c r="J13" s="15"/>
    </row>
    <row r="14" spans="1:10" ht="19.5" customHeight="1" x14ac:dyDescent="0.2">
      <c r="A14" s="32">
        <v>7</v>
      </c>
      <c r="B14" s="15"/>
      <c r="C14" s="33"/>
      <c r="D14" s="34"/>
      <c r="E14" s="35"/>
      <c r="F14" s="34"/>
      <c r="G14" s="33"/>
      <c r="H14" s="36" t="str">
        <f t="shared" si="0"/>
        <v/>
      </c>
      <c r="I14" s="15"/>
      <c r="J14" s="15"/>
    </row>
    <row r="15" spans="1:10" ht="19.5" customHeight="1" x14ac:dyDescent="0.2">
      <c r="A15" s="37">
        <v>8</v>
      </c>
      <c r="B15" s="15"/>
      <c r="C15" s="33"/>
      <c r="D15" s="34"/>
      <c r="E15" s="35"/>
      <c r="F15" s="34"/>
      <c r="G15" s="33"/>
      <c r="H15" s="36" t="str">
        <f t="shared" si="0"/>
        <v/>
      </c>
      <c r="I15" s="15"/>
      <c r="J15" s="15"/>
    </row>
    <row r="16" spans="1:10" ht="19.5" customHeight="1" x14ac:dyDescent="0.2">
      <c r="A16" s="32">
        <v>9</v>
      </c>
      <c r="B16" s="15"/>
      <c r="C16" s="33"/>
      <c r="D16" s="34"/>
      <c r="E16" s="35"/>
      <c r="F16" s="34"/>
      <c r="G16" s="33"/>
      <c r="H16" s="36" t="str">
        <f t="shared" si="0"/>
        <v/>
      </c>
      <c r="I16" s="15"/>
      <c r="J16" s="15"/>
    </row>
    <row r="17" spans="1:10" ht="19.5" customHeight="1" x14ac:dyDescent="0.2">
      <c r="A17" s="37">
        <v>10</v>
      </c>
      <c r="B17" s="15"/>
      <c r="C17" s="33"/>
      <c r="D17" s="34"/>
      <c r="E17" s="35"/>
      <c r="F17" s="34"/>
      <c r="G17" s="33"/>
      <c r="H17" s="36" t="str">
        <f t="shared" si="0"/>
        <v/>
      </c>
      <c r="I17" s="15"/>
      <c r="J17" s="15"/>
    </row>
    <row r="18" spans="1:10" ht="19.5" customHeight="1" x14ac:dyDescent="0.2">
      <c r="A18" s="32">
        <v>11</v>
      </c>
      <c r="B18" s="15"/>
      <c r="C18" s="33"/>
      <c r="D18" s="34"/>
      <c r="E18" s="35"/>
      <c r="F18" s="34"/>
      <c r="G18" s="33"/>
      <c r="H18" s="36" t="str">
        <f t="shared" si="0"/>
        <v/>
      </c>
      <c r="I18" s="15"/>
      <c r="J18" s="15"/>
    </row>
    <row r="19" spans="1:10" ht="19.5" customHeight="1" x14ac:dyDescent="0.2">
      <c r="A19" s="37">
        <v>12</v>
      </c>
      <c r="B19" s="15"/>
      <c r="C19" s="33"/>
      <c r="D19" s="34"/>
      <c r="E19" s="35"/>
      <c r="F19" s="34"/>
      <c r="G19" s="33"/>
      <c r="H19" s="36" t="str">
        <f t="shared" si="0"/>
        <v/>
      </c>
      <c r="I19" s="15"/>
      <c r="J19" s="15"/>
    </row>
    <row r="20" spans="1:10" ht="19.5" customHeight="1" x14ac:dyDescent="0.2">
      <c r="A20" s="32">
        <v>13</v>
      </c>
      <c r="B20" s="15"/>
      <c r="C20" s="33"/>
      <c r="D20" s="34"/>
      <c r="E20" s="35"/>
      <c r="F20" s="34"/>
      <c r="G20" s="33"/>
      <c r="H20" s="36" t="str">
        <f t="shared" si="0"/>
        <v/>
      </c>
      <c r="I20" s="15"/>
      <c r="J20" s="15"/>
    </row>
    <row r="21" spans="1:10" ht="19.5" customHeight="1" x14ac:dyDescent="0.2">
      <c r="A21" s="37">
        <v>14</v>
      </c>
      <c r="B21" s="15"/>
      <c r="C21" s="33"/>
      <c r="D21" s="34"/>
      <c r="E21" s="35"/>
      <c r="F21" s="34"/>
      <c r="G21" s="33"/>
      <c r="H21" s="36" t="str">
        <f t="shared" si="0"/>
        <v/>
      </c>
      <c r="I21" s="15"/>
      <c r="J21" s="15"/>
    </row>
    <row r="22" spans="1:10" ht="19.5" customHeight="1" x14ac:dyDescent="0.2">
      <c r="A22" s="32">
        <v>15</v>
      </c>
      <c r="B22" s="15"/>
      <c r="C22" s="33"/>
      <c r="D22" s="34"/>
      <c r="E22" s="35"/>
      <c r="F22" s="34"/>
      <c r="G22" s="33"/>
      <c r="H22" s="36" t="str">
        <f t="shared" si="0"/>
        <v/>
      </c>
      <c r="I22" s="15"/>
      <c r="J22" s="15"/>
    </row>
    <row r="23" spans="1:10" ht="19.5" customHeight="1" x14ac:dyDescent="0.2">
      <c r="A23" s="37">
        <v>16</v>
      </c>
      <c r="B23" s="15"/>
      <c r="C23" s="33"/>
      <c r="D23" s="34"/>
      <c r="E23" s="35"/>
      <c r="F23" s="34"/>
      <c r="G23" s="33"/>
      <c r="H23" s="36" t="str">
        <f t="shared" si="0"/>
        <v/>
      </c>
      <c r="I23" s="15"/>
      <c r="J23" s="15"/>
    </row>
    <row r="24" spans="1:10" ht="19.5" customHeight="1" x14ac:dyDescent="0.2">
      <c r="A24" s="32">
        <v>17</v>
      </c>
      <c r="B24" s="15"/>
      <c r="C24" s="33"/>
      <c r="D24" s="34"/>
      <c r="E24" s="35"/>
      <c r="F24" s="34"/>
      <c r="G24" s="33"/>
      <c r="H24" s="36" t="str">
        <f t="shared" si="0"/>
        <v/>
      </c>
      <c r="I24" s="15"/>
      <c r="J24" s="15"/>
    </row>
    <row r="25" spans="1:10" ht="19.5" customHeight="1" x14ac:dyDescent="0.2">
      <c r="A25" s="37">
        <v>18</v>
      </c>
      <c r="B25" s="15"/>
      <c r="C25" s="33"/>
      <c r="D25" s="34"/>
      <c r="E25" s="35"/>
      <c r="F25" s="34"/>
      <c r="G25" s="33"/>
      <c r="H25" s="36" t="str">
        <f t="shared" si="0"/>
        <v/>
      </c>
      <c r="I25" s="15"/>
      <c r="J25" s="15"/>
    </row>
    <row r="26" spans="1:10" ht="19.5" customHeight="1" x14ac:dyDescent="0.2">
      <c r="A26" s="32">
        <v>19</v>
      </c>
      <c r="B26" s="15"/>
      <c r="C26" s="33"/>
      <c r="D26" s="34"/>
      <c r="E26" s="35"/>
      <c r="F26" s="34"/>
      <c r="G26" s="33"/>
      <c r="H26" s="36" t="str">
        <f t="shared" si="0"/>
        <v/>
      </c>
      <c r="I26" s="15"/>
      <c r="J26" s="15"/>
    </row>
    <row r="27" spans="1:10" ht="19.5" customHeight="1" x14ac:dyDescent="0.2">
      <c r="A27" s="37">
        <v>20</v>
      </c>
      <c r="B27" s="15"/>
      <c r="C27" s="33"/>
      <c r="D27" s="34"/>
      <c r="E27" s="35"/>
      <c r="F27" s="34"/>
      <c r="G27" s="33"/>
      <c r="H27" s="36" t="str">
        <f t="shared" si="0"/>
        <v/>
      </c>
      <c r="I27" s="15"/>
      <c r="J27" s="15"/>
    </row>
    <row r="28" spans="1:10" ht="19.5" customHeight="1" x14ac:dyDescent="0.2">
      <c r="A28" s="32">
        <v>21</v>
      </c>
      <c r="B28" s="15"/>
      <c r="C28" s="33"/>
      <c r="D28" s="34"/>
      <c r="E28" s="35"/>
      <c r="F28" s="34"/>
      <c r="G28" s="33"/>
      <c r="H28" s="36" t="str">
        <f t="shared" si="0"/>
        <v/>
      </c>
      <c r="I28" s="15"/>
      <c r="J28" s="15"/>
    </row>
    <row r="29" spans="1:10" ht="19.5" customHeight="1" x14ac:dyDescent="0.2">
      <c r="A29" s="37">
        <v>22</v>
      </c>
      <c r="B29" s="15"/>
      <c r="C29" s="33"/>
      <c r="D29" s="34"/>
      <c r="E29" s="35"/>
      <c r="F29" s="34"/>
      <c r="G29" s="33"/>
      <c r="H29" s="36" t="str">
        <f t="shared" si="0"/>
        <v/>
      </c>
      <c r="I29" s="15"/>
      <c r="J29" s="15"/>
    </row>
    <row r="30" spans="1:10" ht="19.5" customHeight="1" x14ac:dyDescent="0.2">
      <c r="A30" s="32">
        <v>23</v>
      </c>
      <c r="B30" s="15"/>
      <c r="C30" s="33"/>
      <c r="D30" s="34"/>
      <c r="E30" s="35"/>
      <c r="F30" s="34"/>
      <c r="G30" s="33"/>
      <c r="H30" s="36" t="str">
        <f t="shared" si="0"/>
        <v/>
      </c>
      <c r="I30" s="15"/>
      <c r="J30" s="15"/>
    </row>
    <row r="31" spans="1:10" ht="19.5" customHeight="1" x14ac:dyDescent="0.2">
      <c r="A31" s="37">
        <v>24</v>
      </c>
      <c r="B31" s="15"/>
      <c r="C31" s="33"/>
      <c r="D31" s="34"/>
      <c r="E31" s="35"/>
      <c r="F31" s="34"/>
      <c r="G31" s="33"/>
      <c r="H31" s="36" t="str">
        <f t="shared" si="0"/>
        <v/>
      </c>
      <c r="I31" s="15"/>
      <c r="J31" s="15"/>
    </row>
    <row r="32" spans="1:10" ht="19.5" customHeight="1" x14ac:dyDescent="0.2">
      <c r="A32" s="32">
        <v>25</v>
      </c>
      <c r="B32" s="15"/>
      <c r="C32" s="33"/>
      <c r="D32" s="34"/>
      <c r="E32" s="35"/>
      <c r="F32" s="34"/>
      <c r="G32" s="33"/>
      <c r="H32" s="36" t="str">
        <f t="shared" si="0"/>
        <v/>
      </c>
      <c r="I32" s="15"/>
      <c r="J32" s="15"/>
    </row>
    <row r="33" spans="1:10" ht="19.5" customHeight="1" x14ac:dyDescent="0.2">
      <c r="A33" s="37">
        <v>26</v>
      </c>
      <c r="B33" s="15"/>
      <c r="C33" s="33"/>
      <c r="D33" s="34"/>
      <c r="E33" s="35"/>
      <c r="F33" s="34"/>
      <c r="G33" s="33"/>
      <c r="H33" s="36" t="str">
        <f t="shared" si="0"/>
        <v/>
      </c>
      <c r="I33" s="15"/>
      <c r="J33" s="15"/>
    </row>
    <row r="34" spans="1:10" ht="19.5" customHeight="1" x14ac:dyDescent="0.2">
      <c r="A34" s="32">
        <v>27</v>
      </c>
      <c r="B34" s="15"/>
      <c r="C34" s="33"/>
      <c r="D34" s="34"/>
      <c r="E34" s="35"/>
      <c r="F34" s="34"/>
      <c r="G34" s="33"/>
      <c r="H34" s="36" t="str">
        <f t="shared" si="0"/>
        <v/>
      </c>
      <c r="I34" s="15"/>
      <c r="J34" s="15"/>
    </row>
    <row r="35" spans="1:10" ht="19.5" customHeight="1" x14ac:dyDescent="0.2">
      <c r="A35" s="37">
        <v>28</v>
      </c>
      <c r="B35" s="15"/>
      <c r="C35" s="33"/>
      <c r="D35" s="34"/>
      <c r="E35" s="35"/>
      <c r="F35" s="34"/>
      <c r="G35" s="33"/>
      <c r="H35" s="36" t="str">
        <f t="shared" si="0"/>
        <v/>
      </c>
      <c r="I35" s="15"/>
      <c r="J35" s="15"/>
    </row>
    <row r="36" spans="1:10" ht="19.5" customHeight="1" x14ac:dyDescent="0.2">
      <c r="A36" s="32">
        <v>29</v>
      </c>
      <c r="B36" s="15"/>
      <c r="C36" s="33"/>
      <c r="D36" s="34"/>
      <c r="E36" s="35"/>
      <c r="F36" s="34"/>
      <c r="G36" s="33"/>
      <c r="H36" s="36" t="str">
        <f t="shared" si="0"/>
        <v/>
      </c>
      <c r="I36" s="15"/>
      <c r="J36" s="15"/>
    </row>
    <row r="37" spans="1:10" ht="19.5" customHeight="1" x14ac:dyDescent="0.2">
      <c r="A37" s="37">
        <v>30</v>
      </c>
      <c r="B37" s="15"/>
      <c r="C37" s="33"/>
      <c r="D37" s="34"/>
      <c r="E37" s="35"/>
      <c r="F37" s="34"/>
      <c r="G37" s="33"/>
      <c r="H37" s="36" t="str">
        <f t="shared" si="0"/>
        <v/>
      </c>
      <c r="I37" s="15"/>
      <c r="J37" s="15"/>
    </row>
    <row r="38" spans="1:10" ht="19.5" customHeight="1" x14ac:dyDescent="0.2">
      <c r="A38" s="32">
        <v>31</v>
      </c>
      <c r="B38" s="15"/>
      <c r="C38" s="33"/>
      <c r="D38" s="34"/>
      <c r="E38" s="35"/>
      <c r="F38" s="34"/>
      <c r="G38" s="33"/>
      <c r="H38" s="36" t="str">
        <f t="shared" si="0"/>
        <v/>
      </c>
      <c r="I38" s="15"/>
      <c r="J38" s="15"/>
    </row>
    <row r="39" spans="1:10" ht="19.5" customHeight="1" x14ac:dyDescent="0.2">
      <c r="A39" s="37">
        <v>32</v>
      </c>
      <c r="B39" s="15"/>
      <c r="C39" s="33"/>
      <c r="D39" s="34"/>
      <c r="E39" s="35"/>
      <c r="F39" s="34"/>
      <c r="G39" s="33"/>
      <c r="H39" s="36" t="str">
        <f t="shared" si="0"/>
        <v/>
      </c>
      <c r="I39" s="15"/>
      <c r="J39" s="15"/>
    </row>
    <row r="40" spans="1:10" ht="19.5" customHeight="1" x14ac:dyDescent="0.2">
      <c r="A40" s="32">
        <v>33</v>
      </c>
      <c r="B40" s="15"/>
      <c r="C40" s="33"/>
      <c r="D40" s="34"/>
      <c r="E40" s="35"/>
      <c r="F40" s="34"/>
      <c r="G40" s="33"/>
      <c r="H40" s="36" t="str">
        <f t="shared" si="0"/>
        <v/>
      </c>
      <c r="I40" s="15"/>
      <c r="J40" s="15"/>
    </row>
    <row r="41" spans="1:10" ht="19.5" customHeight="1" x14ac:dyDescent="0.2">
      <c r="A41" s="37">
        <v>34</v>
      </c>
      <c r="B41" s="15"/>
      <c r="C41" s="33"/>
      <c r="D41" s="34"/>
      <c r="E41" s="35"/>
      <c r="F41" s="34"/>
      <c r="G41" s="33"/>
      <c r="H41" s="36" t="str">
        <f t="shared" si="0"/>
        <v/>
      </c>
      <c r="I41" s="15"/>
      <c r="J41" s="15"/>
    </row>
    <row r="42" spans="1:10" ht="19.5" customHeight="1" x14ac:dyDescent="0.2">
      <c r="A42" s="32">
        <v>35</v>
      </c>
      <c r="B42" s="15"/>
      <c r="C42" s="33"/>
      <c r="D42" s="34"/>
      <c r="E42" s="35"/>
      <c r="F42" s="34"/>
      <c r="G42" s="33"/>
      <c r="H42" s="36" t="str">
        <f t="shared" si="0"/>
        <v/>
      </c>
      <c r="I42" s="15"/>
      <c r="J42" s="15"/>
    </row>
    <row r="43" spans="1:10" ht="19.5" customHeight="1" x14ac:dyDescent="0.2">
      <c r="A43" s="37">
        <v>36</v>
      </c>
      <c r="B43" s="15"/>
      <c r="C43" s="33"/>
      <c r="D43" s="34"/>
      <c r="E43" s="35"/>
      <c r="F43" s="34"/>
      <c r="G43" s="33"/>
      <c r="H43" s="36" t="str">
        <f t="shared" si="0"/>
        <v/>
      </c>
      <c r="I43" s="15"/>
      <c r="J43" s="15"/>
    </row>
  </sheetData>
  <mergeCells count="12"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dataValidations count="2">
    <dataValidation type="list" allowBlank="1" sqref="E8:E43" xr:uid="{00000000-0002-0000-0200-000000000000}">
      <formula1>"Да,Не,Частично"</formula1>
      <formula2>0</formula2>
    </dataValidation>
    <dataValidation type="list" allowBlank="1" sqref="I8:I43" xr:uid="{00000000-0002-0000-0200-000001000000}">
      <formula1>"Банков превод,Кеш,Карта,Друго"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J66"/>
  <sheetViews>
    <sheetView showGridLines="0" zoomScaleNormal="100" workbookViewId="0">
      <pane ySplit="4" topLeftCell="A5" activePane="bottomLeft" state="frozen"/>
      <selection pane="bottomLeft" activeCell="G4" sqref="G4:H4"/>
    </sheetView>
  </sheetViews>
  <sheetFormatPr baseColWidth="10" defaultColWidth="8.6640625" defaultRowHeight="15" x14ac:dyDescent="0.2"/>
  <cols>
    <col min="1" max="1" width="5" customWidth="1"/>
    <col min="2" max="2" width="10" customWidth="1"/>
    <col min="3" max="3" width="26" customWidth="1"/>
    <col min="4" max="8" width="14" customWidth="1"/>
    <col min="9" max="9" width="18" customWidth="1"/>
  </cols>
  <sheetData>
    <row r="1" spans="1:10" ht="36" customHeight="1" x14ac:dyDescent="0.2">
      <c r="A1" s="13" t="s">
        <v>159</v>
      </c>
      <c r="B1" s="13"/>
      <c r="C1" s="13"/>
      <c r="D1" s="13"/>
      <c r="E1" s="13"/>
      <c r="F1" s="13"/>
      <c r="G1" s="13"/>
      <c r="H1" s="13"/>
      <c r="I1" s="13"/>
    </row>
    <row r="2" spans="1:10" ht="18" customHeight="1" x14ac:dyDescent="0.2">
      <c r="A2" s="12" t="s">
        <v>160</v>
      </c>
      <c r="B2" s="12"/>
      <c r="C2" s="12"/>
      <c r="D2" s="12"/>
      <c r="E2" s="12"/>
      <c r="F2" s="12"/>
      <c r="G2" s="12"/>
      <c r="H2" s="12"/>
      <c r="I2" s="12"/>
    </row>
    <row r="3" spans="1:10" ht="6" customHeight="1" x14ac:dyDescent="0.2"/>
    <row r="4" spans="1:10" ht="21.75" customHeight="1" x14ac:dyDescent="0.2">
      <c r="A4" s="9" t="s">
        <v>161</v>
      </c>
      <c r="B4" s="9"/>
      <c r="C4" s="9" t="s">
        <v>162</v>
      </c>
      <c r="D4" s="9"/>
      <c r="E4" s="9" t="s">
        <v>163</v>
      </c>
      <c r="F4" s="9"/>
      <c r="G4" s="9" t="s">
        <v>164</v>
      </c>
      <c r="H4" s="9"/>
      <c r="I4" s="9" t="s">
        <v>165</v>
      </c>
      <c r="J4" s="9"/>
    </row>
    <row r="5" spans="1:10" ht="3.75" customHeight="1" x14ac:dyDescent="0.2"/>
    <row r="6" spans="1:10" ht="25.5" customHeight="1" x14ac:dyDescent="0.2">
      <c r="A6" s="38" t="s">
        <v>137</v>
      </c>
      <c r="B6" s="38" t="s">
        <v>166</v>
      </c>
      <c r="C6" s="38" t="s">
        <v>167</v>
      </c>
      <c r="D6" s="38" t="s">
        <v>168</v>
      </c>
      <c r="E6" s="38" t="s">
        <v>169</v>
      </c>
      <c r="F6" s="38" t="s">
        <v>170</v>
      </c>
      <c r="G6" s="38" t="s">
        <v>171</v>
      </c>
      <c r="H6" s="38" t="s">
        <v>172</v>
      </c>
      <c r="I6" s="38" t="s">
        <v>75</v>
      </c>
    </row>
    <row r="7" spans="1:10" ht="19.5" customHeight="1" x14ac:dyDescent="0.2">
      <c r="A7" s="39">
        <v>1</v>
      </c>
      <c r="B7" s="33"/>
      <c r="C7" s="15"/>
      <c r="D7" s="34"/>
      <c r="E7" s="40">
        <f t="shared" ref="E7:E38" si="0">IFERROR(D7*1.95583,"")</f>
        <v>0</v>
      </c>
      <c r="F7" s="15"/>
      <c r="G7" s="35"/>
      <c r="H7" s="15"/>
      <c r="I7" s="15"/>
    </row>
    <row r="8" spans="1:10" ht="19.5" customHeight="1" x14ac:dyDescent="0.2">
      <c r="A8" s="41">
        <v>2</v>
      </c>
      <c r="B8" s="33"/>
      <c r="C8" s="15"/>
      <c r="D8" s="34"/>
      <c r="E8" s="40">
        <f t="shared" si="0"/>
        <v>0</v>
      </c>
      <c r="F8" s="15"/>
      <c r="G8" s="35"/>
      <c r="H8" s="15"/>
      <c r="I8" s="15"/>
    </row>
    <row r="9" spans="1:10" ht="19.5" customHeight="1" x14ac:dyDescent="0.2">
      <c r="A9" s="39">
        <v>3</v>
      </c>
      <c r="B9" s="33"/>
      <c r="C9" s="15"/>
      <c r="D9" s="34"/>
      <c r="E9" s="40">
        <f t="shared" si="0"/>
        <v>0</v>
      </c>
      <c r="F9" s="15"/>
      <c r="G9" s="35"/>
      <c r="H9" s="15"/>
      <c r="I9" s="15"/>
    </row>
    <row r="10" spans="1:10" ht="19.5" customHeight="1" x14ac:dyDescent="0.2">
      <c r="A10" s="41">
        <v>4</v>
      </c>
      <c r="B10" s="33"/>
      <c r="C10" s="15"/>
      <c r="D10" s="34"/>
      <c r="E10" s="40">
        <f t="shared" si="0"/>
        <v>0</v>
      </c>
      <c r="F10" s="15"/>
      <c r="G10" s="35"/>
      <c r="H10" s="15"/>
      <c r="I10" s="15"/>
    </row>
    <row r="11" spans="1:10" ht="19.5" customHeight="1" x14ac:dyDescent="0.2">
      <c r="A11" s="39">
        <v>5</v>
      </c>
      <c r="B11" s="33"/>
      <c r="C11" s="15"/>
      <c r="D11" s="34"/>
      <c r="E11" s="40">
        <f t="shared" si="0"/>
        <v>0</v>
      </c>
      <c r="F11" s="15"/>
      <c r="G11" s="35"/>
      <c r="H11" s="15"/>
      <c r="I11" s="15"/>
    </row>
    <row r="12" spans="1:10" ht="19.5" customHeight="1" x14ac:dyDescent="0.2">
      <c r="A12" s="41">
        <v>6</v>
      </c>
      <c r="B12" s="33"/>
      <c r="C12" s="15"/>
      <c r="D12" s="34"/>
      <c r="E12" s="40">
        <f t="shared" si="0"/>
        <v>0</v>
      </c>
      <c r="F12" s="15"/>
      <c r="G12" s="35"/>
      <c r="H12" s="15"/>
      <c r="I12" s="15"/>
    </row>
    <row r="13" spans="1:10" ht="19.5" customHeight="1" x14ac:dyDescent="0.2">
      <c r="A13" s="39">
        <v>7</v>
      </c>
      <c r="B13" s="33"/>
      <c r="C13" s="15"/>
      <c r="D13" s="34"/>
      <c r="E13" s="40">
        <f t="shared" si="0"/>
        <v>0</v>
      </c>
      <c r="F13" s="15"/>
      <c r="G13" s="35"/>
      <c r="H13" s="15"/>
      <c r="I13" s="15"/>
    </row>
    <row r="14" spans="1:10" ht="19.5" customHeight="1" x14ac:dyDescent="0.2">
      <c r="A14" s="41">
        <v>8</v>
      </c>
      <c r="B14" s="33"/>
      <c r="C14" s="15"/>
      <c r="D14" s="34"/>
      <c r="E14" s="40">
        <f t="shared" si="0"/>
        <v>0</v>
      </c>
      <c r="F14" s="15"/>
      <c r="G14" s="35"/>
      <c r="H14" s="15"/>
      <c r="I14" s="15"/>
    </row>
    <row r="15" spans="1:10" ht="19.5" customHeight="1" x14ac:dyDescent="0.2">
      <c r="A15" s="39">
        <v>9</v>
      </c>
      <c r="B15" s="33"/>
      <c r="C15" s="15"/>
      <c r="D15" s="34"/>
      <c r="E15" s="40">
        <f t="shared" si="0"/>
        <v>0</v>
      </c>
      <c r="F15" s="15"/>
      <c r="G15" s="35"/>
      <c r="H15" s="15"/>
      <c r="I15" s="15"/>
    </row>
    <row r="16" spans="1:10" ht="19.5" customHeight="1" x14ac:dyDescent="0.2">
      <c r="A16" s="41">
        <v>10</v>
      </c>
      <c r="B16" s="33"/>
      <c r="C16" s="15"/>
      <c r="D16" s="34"/>
      <c r="E16" s="40">
        <f t="shared" si="0"/>
        <v>0</v>
      </c>
      <c r="F16" s="15"/>
      <c r="G16" s="35"/>
      <c r="H16" s="15"/>
      <c r="I16" s="15"/>
    </row>
    <row r="17" spans="1:9" ht="19.5" customHeight="1" x14ac:dyDescent="0.2">
      <c r="A17" s="39">
        <v>11</v>
      </c>
      <c r="B17" s="33"/>
      <c r="C17" s="15"/>
      <c r="D17" s="34"/>
      <c r="E17" s="40">
        <f t="shared" si="0"/>
        <v>0</v>
      </c>
      <c r="F17" s="15"/>
      <c r="G17" s="35"/>
      <c r="H17" s="15"/>
      <c r="I17" s="15"/>
    </row>
    <row r="18" spans="1:9" ht="19.5" customHeight="1" x14ac:dyDescent="0.2">
      <c r="A18" s="41">
        <v>12</v>
      </c>
      <c r="B18" s="33"/>
      <c r="C18" s="15"/>
      <c r="D18" s="34"/>
      <c r="E18" s="40">
        <f t="shared" si="0"/>
        <v>0</v>
      </c>
      <c r="F18" s="15"/>
      <c r="G18" s="35"/>
      <c r="H18" s="15"/>
      <c r="I18" s="15"/>
    </row>
    <row r="19" spans="1:9" ht="19.5" customHeight="1" x14ac:dyDescent="0.2">
      <c r="A19" s="39">
        <v>13</v>
      </c>
      <c r="B19" s="33"/>
      <c r="C19" s="15"/>
      <c r="D19" s="34"/>
      <c r="E19" s="40">
        <f t="shared" si="0"/>
        <v>0</v>
      </c>
      <c r="F19" s="15"/>
      <c r="G19" s="35"/>
      <c r="H19" s="15"/>
      <c r="I19" s="15"/>
    </row>
    <row r="20" spans="1:9" ht="19.5" customHeight="1" x14ac:dyDescent="0.2">
      <c r="A20" s="41">
        <v>14</v>
      </c>
      <c r="B20" s="33"/>
      <c r="C20" s="15"/>
      <c r="D20" s="34"/>
      <c r="E20" s="40">
        <f t="shared" si="0"/>
        <v>0</v>
      </c>
      <c r="F20" s="15"/>
      <c r="G20" s="35"/>
      <c r="H20" s="15"/>
      <c r="I20" s="15"/>
    </row>
    <row r="21" spans="1:9" ht="19.5" customHeight="1" x14ac:dyDescent="0.2">
      <c r="A21" s="39">
        <v>15</v>
      </c>
      <c r="B21" s="33"/>
      <c r="C21" s="15"/>
      <c r="D21" s="34"/>
      <c r="E21" s="40">
        <f t="shared" si="0"/>
        <v>0</v>
      </c>
      <c r="F21" s="15"/>
      <c r="G21" s="35"/>
      <c r="H21" s="15"/>
      <c r="I21" s="15"/>
    </row>
    <row r="22" spans="1:9" ht="19.5" customHeight="1" x14ac:dyDescent="0.2">
      <c r="A22" s="41">
        <v>16</v>
      </c>
      <c r="B22" s="33"/>
      <c r="C22" s="15"/>
      <c r="D22" s="34"/>
      <c r="E22" s="40">
        <f t="shared" si="0"/>
        <v>0</v>
      </c>
      <c r="F22" s="15"/>
      <c r="G22" s="35"/>
      <c r="H22" s="15"/>
      <c r="I22" s="15"/>
    </row>
    <row r="23" spans="1:9" ht="19.5" customHeight="1" x14ac:dyDescent="0.2">
      <c r="A23" s="39">
        <v>17</v>
      </c>
      <c r="B23" s="33"/>
      <c r="C23" s="15"/>
      <c r="D23" s="34"/>
      <c r="E23" s="40">
        <f t="shared" si="0"/>
        <v>0</v>
      </c>
      <c r="F23" s="15"/>
      <c r="G23" s="35"/>
      <c r="H23" s="15"/>
      <c r="I23" s="15"/>
    </row>
    <row r="24" spans="1:9" ht="19.5" customHeight="1" x14ac:dyDescent="0.2">
      <c r="A24" s="41">
        <v>18</v>
      </c>
      <c r="B24" s="33"/>
      <c r="C24" s="15"/>
      <c r="D24" s="34"/>
      <c r="E24" s="40">
        <f t="shared" si="0"/>
        <v>0</v>
      </c>
      <c r="F24" s="15"/>
      <c r="G24" s="35"/>
      <c r="H24" s="15"/>
      <c r="I24" s="15"/>
    </row>
    <row r="25" spans="1:9" ht="19.5" customHeight="1" x14ac:dyDescent="0.2">
      <c r="A25" s="39">
        <v>19</v>
      </c>
      <c r="B25" s="33"/>
      <c r="C25" s="15"/>
      <c r="D25" s="34"/>
      <c r="E25" s="40">
        <f t="shared" si="0"/>
        <v>0</v>
      </c>
      <c r="F25" s="15"/>
      <c r="G25" s="35"/>
      <c r="H25" s="15"/>
      <c r="I25" s="15"/>
    </row>
    <row r="26" spans="1:9" ht="19.5" customHeight="1" x14ac:dyDescent="0.2">
      <c r="A26" s="41">
        <v>20</v>
      </c>
      <c r="B26" s="33"/>
      <c r="C26" s="15"/>
      <c r="D26" s="34"/>
      <c r="E26" s="40">
        <f t="shared" si="0"/>
        <v>0</v>
      </c>
      <c r="F26" s="15"/>
      <c r="G26" s="35"/>
      <c r="H26" s="15"/>
      <c r="I26" s="15"/>
    </row>
    <row r="27" spans="1:9" ht="19.5" customHeight="1" x14ac:dyDescent="0.2">
      <c r="A27" s="39">
        <v>21</v>
      </c>
      <c r="B27" s="33"/>
      <c r="C27" s="15"/>
      <c r="D27" s="34"/>
      <c r="E27" s="40">
        <f t="shared" si="0"/>
        <v>0</v>
      </c>
      <c r="F27" s="15"/>
      <c r="G27" s="35"/>
      <c r="H27" s="15"/>
      <c r="I27" s="15"/>
    </row>
    <row r="28" spans="1:9" ht="19.5" customHeight="1" x14ac:dyDescent="0.2">
      <c r="A28" s="41">
        <v>22</v>
      </c>
      <c r="B28" s="33"/>
      <c r="C28" s="15"/>
      <c r="D28" s="34"/>
      <c r="E28" s="40">
        <f t="shared" si="0"/>
        <v>0</v>
      </c>
      <c r="F28" s="15"/>
      <c r="G28" s="35"/>
      <c r="H28" s="15"/>
      <c r="I28" s="15"/>
    </row>
    <row r="29" spans="1:9" ht="19.5" customHeight="1" x14ac:dyDescent="0.2">
      <c r="A29" s="39">
        <v>23</v>
      </c>
      <c r="B29" s="33"/>
      <c r="C29" s="15"/>
      <c r="D29" s="34"/>
      <c r="E29" s="40">
        <f t="shared" si="0"/>
        <v>0</v>
      </c>
      <c r="F29" s="15"/>
      <c r="G29" s="35"/>
      <c r="H29" s="15"/>
      <c r="I29" s="15"/>
    </row>
    <row r="30" spans="1:9" ht="19.5" customHeight="1" x14ac:dyDescent="0.2">
      <c r="A30" s="41">
        <v>24</v>
      </c>
      <c r="B30" s="33"/>
      <c r="C30" s="15"/>
      <c r="D30" s="34"/>
      <c r="E30" s="40">
        <f t="shared" si="0"/>
        <v>0</v>
      </c>
      <c r="F30" s="15"/>
      <c r="G30" s="35"/>
      <c r="H30" s="15"/>
      <c r="I30" s="15"/>
    </row>
    <row r="31" spans="1:9" ht="19.5" customHeight="1" x14ac:dyDescent="0.2">
      <c r="A31" s="39">
        <v>25</v>
      </c>
      <c r="B31" s="33"/>
      <c r="C31" s="15"/>
      <c r="D31" s="34"/>
      <c r="E31" s="40">
        <f t="shared" si="0"/>
        <v>0</v>
      </c>
      <c r="F31" s="15"/>
      <c r="G31" s="35"/>
      <c r="H31" s="15"/>
      <c r="I31" s="15"/>
    </row>
    <row r="32" spans="1:9" ht="19.5" customHeight="1" x14ac:dyDescent="0.2">
      <c r="A32" s="41">
        <v>26</v>
      </c>
      <c r="B32" s="33"/>
      <c r="C32" s="15"/>
      <c r="D32" s="34"/>
      <c r="E32" s="40">
        <f t="shared" si="0"/>
        <v>0</v>
      </c>
      <c r="F32" s="15"/>
      <c r="G32" s="35"/>
      <c r="H32" s="15"/>
      <c r="I32" s="15"/>
    </row>
    <row r="33" spans="1:9" ht="19.5" customHeight="1" x14ac:dyDescent="0.2">
      <c r="A33" s="39">
        <v>27</v>
      </c>
      <c r="B33" s="33"/>
      <c r="C33" s="15"/>
      <c r="D33" s="34"/>
      <c r="E33" s="40">
        <f t="shared" si="0"/>
        <v>0</v>
      </c>
      <c r="F33" s="15"/>
      <c r="G33" s="35"/>
      <c r="H33" s="15"/>
      <c r="I33" s="15"/>
    </row>
    <row r="34" spans="1:9" ht="19.5" customHeight="1" x14ac:dyDescent="0.2">
      <c r="A34" s="41">
        <v>28</v>
      </c>
      <c r="B34" s="33"/>
      <c r="C34" s="15"/>
      <c r="D34" s="34"/>
      <c r="E34" s="40">
        <f t="shared" si="0"/>
        <v>0</v>
      </c>
      <c r="F34" s="15"/>
      <c r="G34" s="35"/>
      <c r="H34" s="15"/>
      <c r="I34" s="15"/>
    </row>
    <row r="35" spans="1:9" ht="19.5" customHeight="1" x14ac:dyDescent="0.2">
      <c r="A35" s="39">
        <v>29</v>
      </c>
      <c r="B35" s="33"/>
      <c r="C35" s="15"/>
      <c r="D35" s="34"/>
      <c r="E35" s="40">
        <f t="shared" si="0"/>
        <v>0</v>
      </c>
      <c r="F35" s="15"/>
      <c r="G35" s="35"/>
      <c r="H35" s="15"/>
      <c r="I35" s="15"/>
    </row>
    <row r="36" spans="1:9" ht="19.5" customHeight="1" x14ac:dyDescent="0.2">
      <c r="A36" s="41">
        <v>30</v>
      </c>
      <c r="B36" s="33"/>
      <c r="C36" s="15"/>
      <c r="D36" s="34"/>
      <c r="E36" s="40">
        <f t="shared" si="0"/>
        <v>0</v>
      </c>
      <c r="F36" s="15"/>
      <c r="G36" s="35"/>
      <c r="H36" s="15"/>
      <c r="I36" s="15"/>
    </row>
    <row r="37" spans="1:9" ht="19.5" customHeight="1" x14ac:dyDescent="0.2">
      <c r="A37" s="39">
        <v>31</v>
      </c>
      <c r="B37" s="33"/>
      <c r="C37" s="15"/>
      <c r="D37" s="34"/>
      <c r="E37" s="40">
        <f t="shared" si="0"/>
        <v>0</v>
      </c>
      <c r="F37" s="15"/>
      <c r="G37" s="35"/>
      <c r="H37" s="15"/>
      <c r="I37" s="15"/>
    </row>
    <row r="38" spans="1:9" ht="19.5" customHeight="1" x14ac:dyDescent="0.2">
      <c r="A38" s="41">
        <v>32</v>
      </c>
      <c r="B38" s="33"/>
      <c r="C38" s="15"/>
      <c r="D38" s="34"/>
      <c r="E38" s="40">
        <f t="shared" si="0"/>
        <v>0</v>
      </c>
      <c r="F38" s="15"/>
      <c r="G38" s="35"/>
      <c r="H38" s="15"/>
      <c r="I38" s="15"/>
    </row>
    <row r="39" spans="1:9" ht="19.5" customHeight="1" x14ac:dyDescent="0.2">
      <c r="A39" s="39">
        <v>33</v>
      </c>
      <c r="B39" s="33"/>
      <c r="C39" s="15"/>
      <c r="D39" s="34"/>
      <c r="E39" s="40">
        <f t="shared" ref="E39:E70" si="1">IFERROR(D39*1.95583,"")</f>
        <v>0</v>
      </c>
      <c r="F39" s="15"/>
      <c r="G39" s="35"/>
      <c r="H39" s="15"/>
      <c r="I39" s="15"/>
    </row>
    <row r="40" spans="1:9" ht="19.5" customHeight="1" x14ac:dyDescent="0.2">
      <c r="A40" s="41">
        <v>34</v>
      </c>
      <c r="B40" s="33"/>
      <c r="C40" s="15"/>
      <c r="D40" s="34"/>
      <c r="E40" s="40">
        <f t="shared" si="1"/>
        <v>0</v>
      </c>
      <c r="F40" s="15"/>
      <c r="G40" s="35"/>
      <c r="H40" s="15"/>
      <c r="I40" s="15"/>
    </row>
    <row r="41" spans="1:9" ht="19.5" customHeight="1" x14ac:dyDescent="0.2">
      <c r="A41" s="39">
        <v>35</v>
      </c>
      <c r="B41" s="33"/>
      <c r="C41" s="15"/>
      <c r="D41" s="34"/>
      <c r="E41" s="40">
        <f t="shared" si="1"/>
        <v>0</v>
      </c>
      <c r="F41" s="15"/>
      <c r="G41" s="35"/>
      <c r="H41" s="15"/>
      <c r="I41" s="15"/>
    </row>
    <row r="42" spans="1:9" ht="19.5" customHeight="1" x14ac:dyDescent="0.2">
      <c r="A42" s="41">
        <v>36</v>
      </c>
      <c r="B42" s="33"/>
      <c r="C42" s="15"/>
      <c r="D42" s="34"/>
      <c r="E42" s="40">
        <f t="shared" si="1"/>
        <v>0</v>
      </c>
      <c r="F42" s="15"/>
      <c r="G42" s="35"/>
      <c r="H42" s="15"/>
      <c r="I42" s="15"/>
    </row>
    <row r="43" spans="1:9" ht="19.5" customHeight="1" x14ac:dyDescent="0.2">
      <c r="A43" s="39">
        <v>37</v>
      </c>
      <c r="B43" s="33"/>
      <c r="C43" s="15"/>
      <c r="D43" s="34"/>
      <c r="E43" s="40">
        <f t="shared" si="1"/>
        <v>0</v>
      </c>
      <c r="F43" s="15"/>
      <c r="G43" s="35"/>
      <c r="H43" s="15"/>
      <c r="I43" s="15"/>
    </row>
    <row r="44" spans="1:9" ht="19.5" customHeight="1" x14ac:dyDescent="0.2">
      <c r="A44" s="41">
        <v>38</v>
      </c>
      <c r="B44" s="33"/>
      <c r="C44" s="15"/>
      <c r="D44" s="34"/>
      <c r="E44" s="40">
        <f t="shared" si="1"/>
        <v>0</v>
      </c>
      <c r="F44" s="15"/>
      <c r="G44" s="35"/>
      <c r="H44" s="15"/>
      <c r="I44" s="15"/>
    </row>
    <row r="45" spans="1:9" ht="19.5" customHeight="1" x14ac:dyDescent="0.2">
      <c r="A45" s="39">
        <v>39</v>
      </c>
      <c r="B45" s="33"/>
      <c r="C45" s="15"/>
      <c r="D45" s="34"/>
      <c r="E45" s="40">
        <f t="shared" si="1"/>
        <v>0</v>
      </c>
      <c r="F45" s="15"/>
      <c r="G45" s="35"/>
      <c r="H45" s="15"/>
      <c r="I45" s="15"/>
    </row>
    <row r="46" spans="1:9" ht="19.5" customHeight="1" x14ac:dyDescent="0.2">
      <c r="A46" s="41">
        <v>40</v>
      </c>
      <c r="B46" s="33"/>
      <c r="C46" s="15"/>
      <c r="D46" s="34"/>
      <c r="E46" s="40">
        <f t="shared" si="1"/>
        <v>0</v>
      </c>
      <c r="F46" s="15"/>
      <c r="G46" s="35"/>
      <c r="H46" s="15"/>
      <c r="I46" s="15"/>
    </row>
    <row r="47" spans="1:9" ht="19.5" customHeight="1" x14ac:dyDescent="0.2">
      <c r="A47" s="39">
        <v>41</v>
      </c>
      <c r="B47" s="33"/>
      <c r="C47" s="15"/>
      <c r="D47" s="34"/>
      <c r="E47" s="40">
        <f t="shared" si="1"/>
        <v>0</v>
      </c>
      <c r="F47" s="15"/>
      <c r="G47" s="35"/>
      <c r="H47" s="15"/>
      <c r="I47" s="15"/>
    </row>
    <row r="48" spans="1:9" ht="19.5" customHeight="1" x14ac:dyDescent="0.2">
      <c r="A48" s="41">
        <v>42</v>
      </c>
      <c r="B48" s="33"/>
      <c r="C48" s="15"/>
      <c r="D48" s="34"/>
      <c r="E48" s="40">
        <f t="shared" si="1"/>
        <v>0</v>
      </c>
      <c r="F48" s="15"/>
      <c r="G48" s="35"/>
      <c r="H48" s="15"/>
      <c r="I48" s="15"/>
    </row>
    <row r="49" spans="1:9" ht="19.5" customHeight="1" x14ac:dyDescent="0.2">
      <c r="A49" s="39">
        <v>43</v>
      </c>
      <c r="B49" s="33"/>
      <c r="C49" s="15"/>
      <c r="D49" s="34"/>
      <c r="E49" s="40">
        <f t="shared" si="1"/>
        <v>0</v>
      </c>
      <c r="F49" s="15"/>
      <c r="G49" s="35"/>
      <c r="H49" s="15"/>
      <c r="I49" s="15"/>
    </row>
    <row r="50" spans="1:9" ht="19.5" customHeight="1" x14ac:dyDescent="0.2">
      <c r="A50" s="41">
        <v>44</v>
      </c>
      <c r="B50" s="33"/>
      <c r="C50" s="15"/>
      <c r="D50" s="34"/>
      <c r="E50" s="40">
        <f t="shared" si="1"/>
        <v>0</v>
      </c>
      <c r="F50" s="15"/>
      <c r="G50" s="35"/>
      <c r="H50" s="15"/>
      <c r="I50" s="15"/>
    </row>
    <row r="51" spans="1:9" ht="19.5" customHeight="1" x14ac:dyDescent="0.2">
      <c r="A51" s="39">
        <v>45</v>
      </c>
      <c r="B51" s="33"/>
      <c r="C51" s="15"/>
      <c r="D51" s="34"/>
      <c r="E51" s="40">
        <f t="shared" si="1"/>
        <v>0</v>
      </c>
      <c r="F51" s="15"/>
      <c r="G51" s="35"/>
      <c r="H51" s="15"/>
      <c r="I51" s="15"/>
    </row>
    <row r="52" spans="1:9" ht="19.5" customHeight="1" x14ac:dyDescent="0.2">
      <c r="A52" s="41">
        <v>46</v>
      </c>
      <c r="B52" s="33"/>
      <c r="C52" s="15"/>
      <c r="D52" s="34"/>
      <c r="E52" s="40">
        <f t="shared" si="1"/>
        <v>0</v>
      </c>
      <c r="F52" s="15"/>
      <c r="G52" s="35"/>
      <c r="H52" s="15"/>
      <c r="I52" s="15"/>
    </row>
    <row r="53" spans="1:9" ht="19.5" customHeight="1" x14ac:dyDescent="0.2">
      <c r="A53" s="39">
        <v>47</v>
      </c>
      <c r="B53" s="33"/>
      <c r="C53" s="15"/>
      <c r="D53" s="34"/>
      <c r="E53" s="40">
        <f t="shared" si="1"/>
        <v>0</v>
      </c>
      <c r="F53" s="15"/>
      <c r="G53" s="35"/>
      <c r="H53" s="15"/>
      <c r="I53" s="15"/>
    </row>
    <row r="54" spans="1:9" ht="19.5" customHeight="1" x14ac:dyDescent="0.2">
      <c r="A54" s="41">
        <v>48</v>
      </c>
      <c r="B54" s="33"/>
      <c r="C54" s="15"/>
      <c r="D54" s="34"/>
      <c r="E54" s="40">
        <f t="shared" si="1"/>
        <v>0</v>
      </c>
      <c r="F54" s="15"/>
      <c r="G54" s="35"/>
      <c r="H54" s="15"/>
      <c r="I54" s="15"/>
    </row>
    <row r="55" spans="1:9" ht="19.5" customHeight="1" x14ac:dyDescent="0.2">
      <c r="A55" s="39">
        <v>49</v>
      </c>
      <c r="B55" s="33"/>
      <c r="C55" s="15"/>
      <c r="D55" s="34"/>
      <c r="E55" s="40">
        <f t="shared" si="1"/>
        <v>0</v>
      </c>
      <c r="F55" s="15"/>
      <c r="G55" s="35"/>
      <c r="H55" s="15"/>
      <c r="I55" s="15"/>
    </row>
    <row r="56" spans="1:9" ht="19.5" customHeight="1" x14ac:dyDescent="0.2">
      <c r="A56" s="41">
        <v>50</v>
      </c>
      <c r="B56" s="33"/>
      <c r="C56" s="15"/>
      <c r="D56" s="34"/>
      <c r="E56" s="40">
        <f t="shared" si="1"/>
        <v>0</v>
      </c>
      <c r="F56" s="15"/>
      <c r="G56" s="35"/>
      <c r="H56" s="15"/>
      <c r="I56" s="15"/>
    </row>
    <row r="57" spans="1:9" ht="19.5" customHeight="1" x14ac:dyDescent="0.2">
      <c r="A57" s="39">
        <v>51</v>
      </c>
      <c r="B57" s="33"/>
      <c r="C57" s="15"/>
      <c r="D57" s="34"/>
      <c r="E57" s="40">
        <f t="shared" si="1"/>
        <v>0</v>
      </c>
      <c r="F57" s="15"/>
      <c r="G57" s="35"/>
      <c r="H57" s="15"/>
      <c r="I57" s="15"/>
    </row>
    <row r="58" spans="1:9" ht="19.5" customHeight="1" x14ac:dyDescent="0.2">
      <c r="A58" s="41">
        <v>52</v>
      </c>
      <c r="B58" s="33"/>
      <c r="C58" s="15"/>
      <c r="D58" s="34"/>
      <c r="E58" s="40">
        <f t="shared" si="1"/>
        <v>0</v>
      </c>
      <c r="F58" s="15"/>
      <c r="G58" s="35"/>
      <c r="H58" s="15"/>
      <c r="I58" s="15"/>
    </row>
    <row r="59" spans="1:9" ht="19.5" customHeight="1" x14ac:dyDescent="0.2">
      <c r="A59" s="39">
        <v>53</v>
      </c>
      <c r="B59" s="33"/>
      <c r="C59" s="15"/>
      <c r="D59" s="34"/>
      <c r="E59" s="40">
        <f t="shared" si="1"/>
        <v>0</v>
      </c>
      <c r="F59" s="15"/>
      <c r="G59" s="35"/>
      <c r="H59" s="15"/>
      <c r="I59" s="15"/>
    </row>
    <row r="60" spans="1:9" ht="19.5" customHeight="1" x14ac:dyDescent="0.2">
      <c r="A60" s="41">
        <v>54</v>
      </c>
      <c r="B60" s="33"/>
      <c r="C60" s="15"/>
      <c r="D60" s="34"/>
      <c r="E60" s="40">
        <f t="shared" si="1"/>
        <v>0</v>
      </c>
      <c r="F60" s="15"/>
      <c r="G60" s="35"/>
      <c r="H60" s="15"/>
      <c r="I60" s="15"/>
    </row>
    <row r="61" spans="1:9" ht="19.5" customHeight="1" x14ac:dyDescent="0.2">
      <c r="A61" s="39">
        <v>55</v>
      </c>
      <c r="B61" s="33"/>
      <c r="C61" s="15"/>
      <c r="D61" s="34"/>
      <c r="E61" s="40">
        <f t="shared" si="1"/>
        <v>0</v>
      </c>
      <c r="F61" s="15"/>
      <c r="G61" s="35"/>
      <c r="H61" s="15"/>
      <c r="I61" s="15"/>
    </row>
    <row r="62" spans="1:9" ht="19.5" customHeight="1" x14ac:dyDescent="0.2">
      <c r="A62" s="41">
        <v>56</v>
      </c>
      <c r="B62" s="33"/>
      <c r="C62" s="15"/>
      <c r="D62" s="34"/>
      <c r="E62" s="40">
        <f t="shared" si="1"/>
        <v>0</v>
      </c>
      <c r="F62" s="15"/>
      <c r="G62" s="35"/>
      <c r="H62" s="15"/>
      <c r="I62" s="15"/>
    </row>
    <row r="63" spans="1:9" ht="19.5" customHeight="1" x14ac:dyDescent="0.2">
      <c r="A63" s="39">
        <v>57</v>
      </c>
      <c r="B63" s="33"/>
      <c r="C63" s="15"/>
      <c r="D63" s="34"/>
      <c r="E63" s="40">
        <f t="shared" si="1"/>
        <v>0</v>
      </c>
      <c r="F63" s="15"/>
      <c r="G63" s="35"/>
      <c r="H63" s="15"/>
      <c r="I63" s="15"/>
    </row>
    <row r="64" spans="1:9" ht="19.5" customHeight="1" x14ac:dyDescent="0.2">
      <c r="A64" s="41">
        <v>58</v>
      </c>
      <c r="B64" s="33"/>
      <c r="C64" s="15"/>
      <c r="D64" s="34"/>
      <c r="E64" s="40">
        <f t="shared" si="1"/>
        <v>0</v>
      </c>
      <c r="F64" s="15"/>
      <c r="G64" s="35"/>
      <c r="H64" s="15"/>
      <c r="I64" s="15"/>
    </row>
    <row r="65" spans="1:9" ht="19.5" customHeight="1" x14ac:dyDescent="0.2">
      <c r="A65" s="39">
        <v>59</v>
      </c>
      <c r="B65" s="33"/>
      <c r="C65" s="15"/>
      <c r="D65" s="34"/>
      <c r="E65" s="40">
        <f t="shared" si="1"/>
        <v>0</v>
      </c>
      <c r="F65" s="15"/>
      <c r="G65" s="35"/>
      <c r="H65" s="15"/>
      <c r="I65" s="15"/>
    </row>
    <row r="66" spans="1:9" ht="19.5" customHeight="1" x14ac:dyDescent="0.2">
      <c r="A66" s="41">
        <v>60</v>
      </c>
      <c r="B66" s="33"/>
      <c r="C66" s="15"/>
      <c r="D66" s="34"/>
      <c r="E66" s="40">
        <f t="shared" si="1"/>
        <v>0</v>
      </c>
      <c r="F66" s="15"/>
      <c r="G66" s="35"/>
      <c r="H66" s="15"/>
      <c r="I66" s="15"/>
    </row>
  </sheetData>
  <mergeCells count="7">
    <mergeCell ref="A1:I1"/>
    <mergeCell ref="A2:I2"/>
    <mergeCell ref="A4:B4"/>
    <mergeCell ref="C4:D4"/>
    <mergeCell ref="E4:F4"/>
    <mergeCell ref="G4:H4"/>
    <mergeCell ref="I4:J4"/>
  </mergeCells>
  <dataValidations count="2">
    <dataValidation type="list" allowBlank="1" sqref="H7:H66" xr:uid="{00000000-0002-0000-0300-000000000000}">
      <formula1>"ЕСС,Данък имот,Застраховка,Ел. енергия,Вода,Отопление,Интернет/ТВ,Ремонт,Обзавеждане,Управление,Почистване,Административно,Друго"</formula1>
      <formula2>0</formula2>
    </dataValidation>
    <dataValidation type="list" allowBlank="1" sqref="G7:G66" xr:uid="{00000000-0002-0000-0300-000001000000}">
      <formula1>"Банков превод,Кеш,Карта,Директен дебит"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</sheetPr>
  <dimension ref="A1:J56"/>
  <sheetViews>
    <sheetView showGridLines="0" zoomScaleNormal="100" workbookViewId="0">
      <pane ySplit="4" topLeftCell="A5" activePane="bottomLeft" state="frozen"/>
      <selection pane="bottomLeft" activeCell="J13" sqref="J13"/>
    </sheetView>
  </sheetViews>
  <sheetFormatPr baseColWidth="10" defaultColWidth="8.6640625" defaultRowHeight="15" x14ac:dyDescent="0.2"/>
  <cols>
    <col min="1" max="1" width="5" customWidth="1"/>
    <col min="2" max="2" width="10" customWidth="1"/>
    <col min="3" max="3" width="28" customWidth="1"/>
    <col min="4" max="5" width="14" customWidth="1"/>
    <col min="6" max="6" width="16" customWidth="1"/>
    <col min="7" max="9" width="14" customWidth="1"/>
    <col min="10" max="10" width="22" customWidth="1"/>
  </cols>
  <sheetData>
    <row r="1" spans="1:10" ht="36" customHeight="1" x14ac:dyDescent="0.2">
      <c r="A1" s="13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">
      <c r="A2" s="12" t="s">
        <v>174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7.75" customHeight="1" x14ac:dyDescent="0.2">
      <c r="A3" s="6" t="s">
        <v>175</v>
      </c>
      <c r="B3" s="6"/>
      <c r="C3" s="6"/>
      <c r="D3" s="6" t="s">
        <v>176</v>
      </c>
      <c r="E3" s="6"/>
      <c r="F3" s="6"/>
      <c r="G3" s="6" t="s">
        <v>177</v>
      </c>
      <c r="H3" s="6"/>
      <c r="I3" s="6"/>
    </row>
    <row r="4" spans="1:10" ht="27.75" customHeight="1" x14ac:dyDescent="0.2">
      <c r="A4" s="5">
        <f>IFERROR(SUM(F7:F200),0)</f>
        <v>0</v>
      </c>
      <c r="B4" s="5"/>
      <c r="C4" s="5"/>
      <c r="D4" s="4">
        <f>COUNTA(C7:C200)</f>
        <v>0</v>
      </c>
      <c r="E4" s="4"/>
      <c r="F4" s="4"/>
      <c r="G4" s="3">
        <f>IFERROR(MAX(B7:B200),"")</f>
        <v>0</v>
      </c>
      <c r="H4" s="3"/>
      <c r="I4" s="3"/>
    </row>
    <row r="5" spans="1:10" ht="7.5" customHeight="1" x14ac:dyDescent="0.2"/>
    <row r="6" spans="1:10" ht="25.5" customHeight="1" x14ac:dyDescent="0.2">
      <c r="A6" s="42" t="s">
        <v>137</v>
      </c>
      <c r="B6" s="42" t="s">
        <v>166</v>
      </c>
      <c r="C6" s="42" t="s">
        <v>178</v>
      </c>
      <c r="D6" s="42" t="s">
        <v>179</v>
      </c>
      <c r="E6" s="42" t="s">
        <v>180</v>
      </c>
      <c r="F6" s="42" t="s">
        <v>181</v>
      </c>
      <c r="G6" s="42" t="s">
        <v>182</v>
      </c>
      <c r="H6" s="42" t="s">
        <v>183</v>
      </c>
      <c r="I6" s="42" t="s">
        <v>184</v>
      </c>
      <c r="J6" s="42" t="s">
        <v>185</v>
      </c>
    </row>
    <row r="7" spans="1:10" ht="19.5" customHeight="1" x14ac:dyDescent="0.2">
      <c r="A7" s="43">
        <v>1</v>
      </c>
      <c r="B7" s="33"/>
      <c r="C7" s="15"/>
      <c r="D7" s="15"/>
      <c r="E7" s="34"/>
      <c r="F7" s="34"/>
      <c r="G7" s="44">
        <f t="shared" ref="G7:G38" si="0">IFERROR(E7+F7,0)</f>
        <v>0</v>
      </c>
      <c r="H7" s="33"/>
      <c r="I7" s="35"/>
      <c r="J7" s="15"/>
    </row>
    <row r="8" spans="1:10" ht="19.5" customHeight="1" x14ac:dyDescent="0.2">
      <c r="A8" s="45">
        <v>2</v>
      </c>
      <c r="B8" s="33"/>
      <c r="C8" s="15"/>
      <c r="D8" s="15"/>
      <c r="E8" s="34"/>
      <c r="F8" s="34"/>
      <c r="G8" s="44">
        <f t="shared" si="0"/>
        <v>0</v>
      </c>
      <c r="H8" s="33"/>
      <c r="I8" s="35"/>
      <c r="J8" s="15"/>
    </row>
    <row r="9" spans="1:10" ht="19.5" customHeight="1" x14ac:dyDescent="0.2">
      <c r="A9" s="43">
        <v>3</v>
      </c>
      <c r="B9" s="33"/>
      <c r="C9" s="15"/>
      <c r="D9" s="15"/>
      <c r="E9" s="34"/>
      <c r="F9" s="34"/>
      <c r="G9" s="44">
        <f t="shared" si="0"/>
        <v>0</v>
      </c>
      <c r="H9" s="33"/>
      <c r="I9" s="35"/>
      <c r="J9" s="15"/>
    </row>
    <row r="10" spans="1:10" ht="19.5" customHeight="1" x14ac:dyDescent="0.2">
      <c r="A10" s="45">
        <v>4</v>
      </c>
      <c r="B10" s="33"/>
      <c r="C10" s="15"/>
      <c r="D10" s="15"/>
      <c r="E10" s="34"/>
      <c r="F10" s="34"/>
      <c r="G10" s="44">
        <f t="shared" si="0"/>
        <v>0</v>
      </c>
      <c r="H10" s="33"/>
      <c r="I10" s="35"/>
      <c r="J10" s="15"/>
    </row>
    <row r="11" spans="1:10" ht="19.5" customHeight="1" x14ac:dyDescent="0.2">
      <c r="A11" s="43">
        <v>5</v>
      </c>
      <c r="B11" s="33"/>
      <c r="C11" s="15"/>
      <c r="D11" s="15"/>
      <c r="E11" s="34"/>
      <c r="F11" s="34"/>
      <c r="G11" s="44">
        <f t="shared" si="0"/>
        <v>0</v>
      </c>
      <c r="H11" s="33"/>
      <c r="I11" s="35"/>
      <c r="J11" s="15"/>
    </row>
    <row r="12" spans="1:10" ht="19.5" customHeight="1" x14ac:dyDescent="0.2">
      <c r="A12" s="45">
        <v>6</v>
      </c>
      <c r="B12" s="33"/>
      <c r="C12" s="15"/>
      <c r="D12" s="15"/>
      <c r="E12" s="34"/>
      <c r="F12" s="34"/>
      <c r="G12" s="44">
        <f t="shared" si="0"/>
        <v>0</v>
      </c>
      <c r="H12" s="33"/>
      <c r="I12" s="35"/>
      <c r="J12" s="15"/>
    </row>
    <row r="13" spans="1:10" ht="19.5" customHeight="1" x14ac:dyDescent="0.2">
      <c r="A13" s="43">
        <v>7</v>
      </c>
      <c r="B13" s="33"/>
      <c r="C13" s="15"/>
      <c r="D13" s="15"/>
      <c r="E13" s="34"/>
      <c r="F13" s="34"/>
      <c r="G13" s="44">
        <f t="shared" si="0"/>
        <v>0</v>
      </c>
      <c r="H13" s="33"/>
      <c r="I13" s="35"/>
      <c r="J13" s="15"/>
    </row>
    <row r="14" spans="1:10" ht="19.5" customHeight="1" x14ac:dyDescent="0.2">
      <c r="A14" s="45">
        <v>8</v>
      </c>
      <c r="B14" s="33"/>
      <c r="C14" s="15"/>
      <c r="D14" s="15"/>
      <c r="E14" s="34"/>
      <c r="F14" s="34"/>
      <c r="G14" s="44">
        <f t="shared" si="0"/>
        <v>0</v>
      </c>
      <c r="H14" s="33"/>
      <c r="I14" s="35"/>
      <c r="J14" s="15"/>
    </row>
    <row r="15" spans="1:10" ht="19.5" customHeight="1" x14ac:dyDescent="0.2">
      <c r="A15" s="43">
        <v>9</v>
      </c>
      <c r="B15" s="33"/>
      <c r="C15" s="15"/>
      <c r="D15" s="15"/>
      <c r="E15" s="34"/>
      <c r="F15" s="34"/>
      <c r="G15" s="44">
        <f t="shared" si="0"/>
        <v>0</v>
      </c>
      <c r="H15" s="33"/>
      <c r="I15" s="35"/>
      <c r="J15" s="15"/>
    </row>
    <row r="16" spans="1:10" ht="19.5" customHeight="1" x14ac:dyDescent="0.2">
      <c r="A16" s="45">
        <v>10</v>
      </c>
      <c r="B16" s="33"/>
      <c r="C16" s="15"/>
      <c r="D16" s="15"/>
      <c r="E16" s="34"/>
      <c r="F16" s="34"/>
      <c r="G16" s="44">
        <f t="shared" si="0"/>
        <v>0</v>
      </c>
      <c r="H16" s="33"/>
      <c r="I16" s="35"/>
      <c r="J16" s="15"/>
    </row>
    <row r="17" spans="1:10" ht="19.5" customHeight="1" x14ac:dyDescent="0.2">
      <c r="A17" s="43">
        <v>11</v>
      </c>
      <c r="B17" s="33"/>
      <c r="C17" s="15"/>
      <c r="D17" s="15"/>
      <c r="E17" s="34"/>
      <c r="F17" s="34"/>
      <c r="G17" s="44">
        <f t="shared" si="0"/>
        <v>0</v>
      </c>
      <c r="H17" s="33"/>
      <c r="I17" s="35"/>
      <c r="J17" s="15"/>
    </row>
    <row r="18" spans="1:10" ht="19.5" customHeight="1" x14ac:dyDescent="0.2">
      <c r="A18" s="45">
        <v>12</v>
      </c>
      <c r="B18" s="33"/>
      <c r="C18" s="15"/>
      <c r="D18" s="15"/>
      <c r="E18" s="34"/>
      <c r="F18" s="34"/>
      <c r="G18" s="44">
        <f t="shared" si="0"/>
        <v>0</v>
      </c>
      <c r="H18" s="33"/>
      <c r="I18" s="35"/>
      <c r="J18" s="15"/>
    </row>
    <row r="19" spans="1:10" ht="19.5" customHeight="1" x14ac:dyDescent="0.2">
      <c r="A19" s="43">
        <v>13</v>
      </c>
      <c r="B19" s="33"/>
      <c r="C19" s="15"/>
      <c r="D19" s="15"/>
      <c r="E19" s="34"/>
      <c r="F19" s="34"/>
      <c r="G19" s="44">
        <f t="shared" si="0"/>
        <v>0</v>
      </c>
      <c r="H19" s="33"/>
      <c r="I19" s="35"/>
      <c r="J19" s="15"/>
    </row>
    <row r="20" spans="1:10" ht="19.5" customHeight="1" x14ac:dyDescent="0.2">
      <c r="A20" s="45">
        <v>14</v>
      </c>
      <c r="B20" s="33"/>
      <c r="C20" s="15"/>
      <c r="D20" s="15"/>
      <c r="E20" s="34"/>
      <c r="F20" s="34"/>
      <c r="G20" s="44">
        <f t="shared" si="0"/>
        <v>0</v>
      </c>
      <c r="H20" s="33"/>
      <c r="I20" s="35"/>
      <c r="J20" s="15"/>
    </row>
    <row r="21" spans="1:10" ht="19.5" customHeight="1" x14ac:dyDescent="0.2">
      <c r="A21" s="43">
        <v>15</v>
      </c>
      <c r="B21" s="33"/>
      <c r="C21" s="15"/>
      <c r="D21" s="15"/>
      <c r="E21" s="34"/>
      <c r="F21" s="34"/>
      <c r="G21" s="44">
        <f t="shared" si="0"/>
        <v>0</v>
      </c>
      <c r="H21" s="33"/>
      <c r="I21" s="35"/>
      <c r="J21" s="15"/>
    </row>
    <row r="22" spans="1:10" ht="19.5" customHeight="1" x14ac:dyDescent="0.2">
      <c r="A22" s="45">
        <v>16</v>
      </c>
      <c r="B22" s="33"/>
      <c r="C22" s="15"/>
      <c r="D22" s="15"/>
      <c r="E22" s="34"/>
      <c r="F22" s="34"/>
      <c r="G22" s="44">
        <f t="shared" si="0"/>
        <v>0</v>
      </c>
      <c r="H22" s="33"/>
      <c r="I22" s="35"/>
      <c r="J22" s="15"/>
    </row>
    <row r="23" spans="1:10" ht="19.5" customHeight="1" x14ac:dyDescent="0.2">
      <c r="A23" s="43">
        <v>17</v>
      </c>
      <c r="B23" s="33"/>
      <c r="C23" s="15"/>
      <c r="D23" s="15"/>
      <c r="E23" s="34"/>
      <c r="F23" s="34"/>
      <c r="G23" s="44">
        <f t="shared" si="0"/>
        <v>0</v>
      </c>
      <c r="H23" s="33"/>
      <c r="I23" s="35"/>
      <c r="J23" s="15"/>
    </row>
    <row r="24" spans="1:10" ht="19.5" customHeight="1" x14ac:dyDescent="0.2">
      <c r="A24" s="45">
        <v>18</v>
      </c>
      <c r="B24" s="33"/>
      <c r="C24" s="15"/>
      <c r="D24" s="15"/>
      <c r="E24" s="34"/>
      <c r="F24" s="34"/>
      <c r="G24" s="44">
        <f t="shared" si="0"/>
        <v>0</v>
      </c>
      <c r="H24" s="33"/>
      <c r="I24" s="35"/>
      <c r="J24" s="15"/>
    </row>
    <row r="25" spans="1:10" ht="19.5" customHeight="1" x14ac:dyDescent="0.2">
      <c r="A25" s="43">
        <v>19</v>
      </c>
      <c r="B25" s="33"/>
      <c r="C25" s="15"/>
      <c r="D25" s="15"/>
      <c r="E25" s="34"/>
      <c r="F25" s="34"/>
      <c r="G25" s="44">
        <f t="shared" si="0"/>
        <v>0</v>
      </c>
      <c r="H25" s="33"/>
      <c r="I25" s="35"/>
      <c r="J25" s="15"/>
    </row>
    <row r="26" spans="1:10" ht="19.5" customHeight="1" x14ac:dyDescent="0.2">
      <c r="A26" s="45">
        <v>20</v>
      </c>
      <c r="B26" s="33"/>
      <c r="C26" s="15"/>
      <c r="D26" s="15"/>
      <c r="E26" s="34"/>
      <c r="F26" s="34"/>
      <c r="G26" s="44">
        <f t="shared" si="0"/>
        <v>0</v>
      </c>
      <c r="H26" s="33"/>
      <c r="I26" s="35"/>
      <c r="J26" s="15"/>
    </row>
    <row r="27" spans="1:10" ht="19.5" customHeight="1" x14ac:dyDescent="0.2">
      <c r="A27" s="43">
        <v>21</v>
      </c>
      <c r="B27" s="33"/>
      <c r="C27" s="15"/>
      <c r="D27" s="15"/>
      <c r="E27" s="34"/>
      <c r="F27" s="34"/>
      <c r="G27" s="44">
        <f t="shared" si="0"/>
        <v>0</v>
      </c>
      <c r="H27" s="33"/>
      <c r="I27" s="35"/>
      <c r="J27" s="15"/>
    </row>
    <row r="28" spans="1:10" ht="19.5" customHeight="1" x14ac:dyDescent="0.2">
      <c r="A28" s="45">
        <v>22</v>
      </c>
      <c r="B28" s="33"/>
      <c r="C28" s="15"/>
      <c r="D28" s="15"/>
      <c r="E28" s="34"/>
      <c r="F28" s="34"/>
      <c r="G28" s="44">
        <f t="shared" si="0"/>
        <v>0</v>
      </c>
      <c r="H28" s="33"/>
      <c r="I28" s="35"/>
      <c r="J28" s="15"/>
    </row>
    <row r="29" spans="1:10" ht="19.5" customHeight="1" x14ac:dyDescent="0.2">
      <c r="A29" s="43">
        <v>23</v>
      </c>
      <c r="B29" s="33"/>
      <c r="C29" s="15"/>
      <c r="D29" s="15"/>
      <c r="E29" s="34"/>
      <c r="F29" s="34"/>
      <c r="G29" s="44">
        <f t="shared" si="0"/>
        <v>0</v>
      </c>
      <c r="H29" s="33"/>
      <c r="I29" s="35"/>
      <c r="J29" s="15"/>
    </row>
    <row r="30" spans="1:10" ht="19.5" customHeight="1" x14ac:dyDescent="0.2">
      <c r="A30" s="45">
        <v>24</v>
      </c>
      <c r="B30" s="33"/>
      <c r="C30" s="15"/>
      <c r="D30" s="15"/>
      <c r="E30" s="34"/>
      <c r="F30" s="34"/>
      <c r="G30" s="44">
        <f t="shared" si="0"/>
        <v>0</v>
      </c>
      <c r="H30" s="33"/>
      <c r="I30" s="35"/>
      <c r="J30" s="15"/>
    </row>
    <row r="31" spans="1:10" ht="19.5" customHeight="1" x14ac:dyDescent="0.2">
      <c r="A31" s="43">
        <v>25</v>
      </c>
      <c r="B31" s="33"/>
      <c r="C31" s="15"/>
      <c r="D31" s="15"/>
      <c r="E31" s="34"/>
      <c r="F31" s="34"/>
      <c r="G31" s="44">
        <f t="shared" si="0"/>
        <v>0</v>
      </c>
      <c r="H31" s="33"/>
      <c r="I31" s="35"/>
      <c r="J31" s="15"/>
    </row>
    <row r="32" spans="1:10" ht="19.5" customHeight="1" x14ac:dyDescent="0.2">
      <c r="A32" s="45">
        <v>26</v>
      </c>
      <c r="B32" s="33"/>
      <c r="C32" s="15"/>
      <c r="D32" s="15"/>
      <c r="E32" s="34"/>
      <c r="F32" s="34"/>
      <c r="G32" s="44">
        <f t="shared" si="0"/>
        <v>0</v>
      </c>
      <c r="H32" s="33"/>
      <c r="I32" s="35"/>
      <c r="J32" s="15"/>
    </row>
    <row r="33" spans="1:10" ht="19.5" customHeight="1" x14ac:dyDescent="0.2">
      <c r="A33" s="43">
        <v>27</v>
      </c>
      <c r="B33" s="33"/>
      <c r="C33" s="15"/>
      <c r="D33" s="15"/>
      <c r="E33" s="34"/>
      <c r="F33" s="34"/>
      <c r="G33" s="44">
        <f t="shared" si="0"/>
        <v>0</v>
      </c>
      <c r="H33" s="33"/>
      <c r="I33" s="35"/>
      <c r="J33" s="15"/>
    </row>
    <row r="34" spans="1:10" ht="19.5" customHeight="1" x14ac:dyDescent="0.2">
      <c r="A34" s="45">
        <v>28</v>
      </c>
      <c r="B34" s="33"/>
      <c r="C34" s="15"/>
      <c r="D34" s="15"/>
      <c r="E34" s="34"/>
      <c r="F34" s="34"/>
      <c r="G34" s="44">
        <f t="shared" si="0"/>
        <v>0</v>
      </c>
      <c r="H34" s="33"/>
      <c r="I34" s="35"/>
      <c r="J34" s="15"/>
    </row>
    <row r="35" spans="1:10" ht="19.5" customHeight="1" x14ac:dyDescent="0.2">
      <c r="A35" s="43">
        <v>29</v>
      </c>
      <c r="B35" s="33"/>
      <c r="C35" s="15"/>
      <c r="D35" s="15"/>
      <c r="E35" s="34"/>
      <c r="F35" s="34"/>
      <c r="G35" s="44">
        <f t="shared" si="0"/>
        <v>0</v>
      </c>
      <c r="H35" s="33"/>
      <c r="I35" s="35"/>
      <c r="J35" s="15"/>
    </row>
    <row r="36" spans="1:10" ht="19.5" customHeight="1" x14ac:dyDescent="0.2">
      <c r="A36" s="45">
        <v>30</v>
      </c>
      <c r="B36" s="33"/>
      <c r="C36" s="15"/>
      <c r="D36" s="15"/>
      <c r="E36" s="34"/>
      <c r="F36" s="34"/>
      <c r="G36" s="44">
        <f t="shared" si="0"/>
        <v>0</v>
      </c>
      <c r="H36" s="33"/>
      <c r="I36" s="35"/>
      <c r="J36" s="15"/>
    </row>
    <row r="37" spans="1:10" ht="19.5" customHeight="1" x14ac:dyDescent="0.2">
      <c r="A37" s="43">
        <v>31</v>
      </c>
      <c r="B37" s="33"/>
      <c r="C37" s="15"/>
      <c r="D37" s="15"/>
      <c r="E37" s="34"/>
      <c r="F37" s="34"/>
      <c r="G37" s="44">
        <f t="shared" si="0"/>
        <v>0</v>
      </c>
      <c r="H37" s="33"/>
      <c r="I37" s="35"/>
      <c r="J37" s="15"/>
    </row>
    <row r="38" spans="1:10" ht="19.5" customHeight="1" x14ac:dyDescent="0.2">
      <c r="A38" s="45">
        <v>32</v>
      </c>
      <c r="B38" s="33"/>
      <c r="C38" s="15"/>
      <c r="D38" s="15"/>
      <c r="E38" s="34"/>
      <c r="F38" s="34"/>
      <c r="G38" s="44">
        <f t="shared" si="0"/>
        <v>0</v>
      </c>
      <c r="H38" s="33"/>
      <c r="I38" s="35"/>
      <c r="J38" s="15"/>
    </row>
    <row r="39" spans="1:10" ht="19.5" customHeight="1" x14ac:dyDescent="0.2">
      <c r="A39" s="43">
        <v>33</v>
      </c>
      <c r="B39" s="33"/>
      <c r="C39" s="15"/>
      <c r="D39" s="15"/>
      <c r="E39" s="34"/>
      <c r="F39" s="34"/>
      <c r="G39" s="44">
        <f t="shared" ref="G39:G70" si="1">IFERROR(E39+F39,0)</f>
        <v>0</v>
      </c>
      <c r="H39" s="33"/>
      <c r="I39" s="35"/>
      <c r="J39" s="15"/>
    </row>
    <row r="40" spans="1:10" ht="19.5" customHeight="1" x14ac:dyDescent="0.2">
      <c r="A40" s="45">
        <v>34</v>
      </c>
      <c r="B40" s="33"/>
      <c r="C40" s="15"/>
      <c r="D40" s="15"/>
      <c r="E40" s="34"/>
      <c r="F40" s="34"/>
      <c r="G40" s="44">
        <f t="shared" si="1"/>
        <v>0</v>
      </c>
      <c r="H40" s="33"/>
      <c r="I40" s="35"/>
      <c r="J40" s="15"/>
    </row>
    <row r="41" spans="1:10" ht="19.5" customHeight="1" x14ac:dyDescent="0.2">
      <c r="A41" s="43">
        <v>35</v>
      </c>
      <c r="B41" s="33"/>
      <c r="C41" s="15"/>
      <c r="D41" s="15"/>
      <c r="E41" s="34"/>
      <c r="F41" s="34"/>
      <c r="G41" s="44">
        <f t="shared" si="1"/>
        <v>0</v>
      </c>
      <c r="H41" s="33"/>
      <c r="I41" s="35"/>
      <c r="J41" s="15"/>
    </row>
    <row r="42" spans="1:10" ht="19.5" customHeight="1" x14ac:dyDescent="0.2">
      <c r="A42" s="45">
        <v>36</v>
      </c>
      <c r="B42" s="33"/>
      <c r="C42" s="15"/>
      <c r="D42" s="15"/>
      <c r="E42" s="34"/>
      <c r="F42" s="34"/>
      <c r="G42" s="44">
        <f t="shared" si="1"/>
        <v>0</v>
      </c>
      <c r="H42" s="33"/>
      <c r="I42" s="35"/>
      <c r="J42" s="15"/>
    </row>
    <row r="43" spans="1:10" ht="19.5" customHeight="1" x14ac:dyDescent="0.2">
      <c r="A43" s="43">
        <v>37</v>
      </c>
      <c r="B43" s="33"/>
      <c r="C43" s="15"/>
      <c r="D43" s="15"/>
      <c r="E43" s="34"/>
      <c r="F43" s="34"/>
      <c r="G43" s="44">
        <f t="shared" si="1"/>
        <v>0</v>
      </c>
      <c r="H43" s="33"/>
      <c r="I43" s="35"/>
      <c r="J43" s="15"/>
    </row>
    <row r="44" spans="1:10" ht="19.5" customHeight="1" x14ac:dyDescent="0.2">
      <c r="A44" s="45">
        <v>38</v>
      </c>
      <c r="B44" s="33"/>
      <c r="C44" s="15"/>
      <c r="D44" s="15"/>
      <c r="E44" s="34"/>
      <c r="F44" s="34"/>
      <c r="G44" s="44">
        <f t="shared" si="1"/>
        <v>0</v>
      </c>
      <c r="H44" s="33"/>
      <c r="I44" s="35"/>
      <c r="J44" s="15"/>
    </row>
    <row r="45" spans="1:10" ht="19.5" customHeight="1" x14ac:dyDescent="0.2">
      <c r="A45" s="43">
        <v>39</v>
      </c>
      <c r="B45" s="33"/>
      <c r="C45" s="15"/>
      <c r="D45" s="15"/>
      <c r="E45" s="34"/>
      <c r="F45" s="34"/>
      <c r="G45" s="44">
        <f t="shared" si="1"/>
        <v>0</v>
      </c>
      <c r="H45" s="33"/>
      <c r="I45" s="35"/>
      <c r="J45" s="15"/>
    </row>
    <row r="46" spans="1:10" ht="19.5" customHeight="1" x14ac:dyDescent="0.2">
      <c r="A46" s="45">
        <v>40</v>
      </c>
      <c r="B46" s="33"/>
      <c r="C46" s="15"/>
      <c r="D46" s="15"/>
      <c r="E46" s="34"/>
      <c r="F46" s="34"/>
      <c r="G46" s="44">
        <f t="shared" si="1"/>
        <v>0</v>
      </c>
      <c r="H46" s="33"/>
      <c r="I46" s="35"/>
      <c r="J46" s="15"/>
    </row>
    <row r="47" spans="1:10" ht="19.5" customHeight="1" x14ac:dyDescent="0.2">
      <c r="A47" s="43">
        <v>41</v>
      </c>
      <c r="B47" s="33"/>
      <c r="C47" s="15"/>
      <c r="D47" s="15"/>
      <c r="E47" s="34"/>
      <c r="F47" s="34"/>
      <c r="G47" s="44">
        <f t="shared" si="1"/>
        <v>0</v>
      </c>
      <c r="H47" s="33"/>
      <c r="I47" s="35"/>
      <c r="J47" s="15"/>
    </row>
    <row r="48" spans="1:10" ht="19.5" customHeight="1" x14ac:dyDescent="0.2">
      <c r="A48" s="45">
        <v>42</v>
      </c>
      <c r="B48" s="33"/>
      <c r="C48" s="15"/>
      <c r="D48" s="15"/>
      <c r="E48" s="34"/>
      <c r="F48" s="34"/>
      <c r="G48" s="44">
        <f t="shared" si="1"/>
        <v>0</v>
      </c>
      <c r="H48" s="33"/>
      <c r="I48" s="35"/>
      <c r="J48" s="15"/>
    </row>
    <row r="49" spans="1:10" ht="19.5" customHeight="1" x14ac:dyDescent="0.2">
      <c r="A49" s="43">
        <v>43</v>
      </c>
      <c r="B49" s="33"/>
      <c r="C49" s="15"/>
      <c r="D49" s="15"/>
      <c r="E49" s="34"/>
      <c r="F49" s="34"/>
      <c r="G49" s="44">
        <f t="shared" si="1"/>
        <v>0</v>
      </c>
      <c r="H49" s="33"/>
      <c r="I49" s="35"/>
      <c r="J49" s="15"/>
    </row>
    <row r="50" spans="1:10" ht="19.5" customHeight="1" x14ac:dyDescent="0.2">
      <c r="A50" s="45">
        <v>44</v>
      </c>
      <c r="B50" s="33"/>
      <c r="C50" s="15"/>
      <c r="D50" s="15"/>
      <c r="E50" s="34"/>
      <c r="F50" s="34"/>
      <c r="G50" s="44">
        <f t="shared" si="1"/>
        <v>0</v>
      </c>
      <c r="H50" s="33"/>
      <c r="I50" s="35"/>
      <c r="J50" s="15"/>
    </row>
    <row r="51" spans="1:10" ht="19.5" customHeight="1" x14ac:dyDescent="0.2">
      <c r="A51" s="43">
        <v>45</v>
      </c>
      <c r="B51" s="33"/>
      <c r="C51" s="15"/>
      <c r="D51" s="15"/>
      <c r="E51" s="34"/>
      <c r="F51" s="34"/>
      <c r="G51" s="44">
        <f t="shared" si="1"/>
        <v>0</v>
      </c>
      <c r="H51" s="33"/>
      <c r="I51" s="35"/>
      <c r="J51" s="15"/>
    </row>
    <row r="52" spans="1:10" ht="19.5" customHeight="1" x14ac:dyDescent="0.2">
      <c r="A52" s="45">
        <v>46</v>
      </c>
      <c r="B52" s="33"/>
      <c r="C52" s="15"/>
      <c r="D52" s="15"/>
      <c r="E52" s="34"/>
      <c r="F52" s="34"/>
      <c r="G52" s="44">
        <f t="shared" si="1"/>
        <v>0</v>
      </c>
      <c r="H52" s="33"/>
      <c r="I52" s="35"/>
      <c r="J52" s="15"/>
    </row>
    <row r="53" spans="1:10" ht="19.5" customHeight="1" x14ac:dyDescent="0.2">
      <c r="A53" s="43">
        <v>47</v>
      </c>
      <c r="B53" s="33"/>
      <c r="C53" s="15"/>
      <c r="D53" s="15"/>
      <c r="E53" s="34"/>
      <c r="F53" s="34"/>
      <c r="G53" s="44">
        <f t="shared" si="1"/>
        <v>0</v>
      </c>
      <c r="H53" s="33"/>
      <c r="I53" s="35"/>
      <c r="J53" s="15"/>
    </row>
    <row r="54" spans="1:10" ht="19.5" customHeight="1" x14ac:dyDescent="0.2">
      <c r="A54" s="45">
        <v>48</v>
      </c>
      <c r="B54" s="33"/>
      <c r="C54" s="15"/>
      <c r="D54" s="15"/>
      <c r="E54" s="34"/>
      <c r="F54" s="34"/>
      <c r="G54" s="44">
        <f t="shared" si="1"/>
        <v>0</v>
      </c>
      <c r="H54" s="33"/>
      <c r="I54" s="35"/>
      <c r="J54" s="15"/>
    </row>
    <row r="55" spans="1:10" ht="19.5" customHeight="1" x14ac:dyDescent="0.2">
      <c r="A55" s="43">
        <v>49</v>
      </c>
      <c r="B55" s="33"/>
      <c r="C55" s="15"/>
      <c r="D55" s="15"/>
      <c r="E55" s="34"/>
      <c r="F55" s="34"/>
      <c r="G55" s="44">
        <f t="shared" si="1"/>
        <v>0</v>
      </c>
      <c r="H55" s="33"/>
      <c r="I55" s="35"/>
      <c r="J55" s="15"/>
    </row>
    <row r="56" spans="1:10" ht="19.5" customHeight="1" x14ac:dyDescent="0.2">
      <c r="A56" s="45">
        <v>50</v>
      </c>
      <c r="B56" s="33"/>
      <c r="C56" s="15"/>
      <c r="D56" s="15"/>
      <c r="E56" s="34"/>
      <c r="F56" s="34"/>
      <c r="G56" s="44">
        <f t="shared" si="1"/>
        <v>0</v>
      </c>
      <c r="H56" s="33"/>
      <c r="I56" s="35"/>
      <c r="J56" s="15"/>
    </row>
  </sheetData>
  <mergeCells count="8">
    <mergeCell ref="A4:C4"/>
    <mergeCell ref="D4:F4"/>
    <mergeCell ref="G4:I4"/>
    <mergeCell ref="A1:J1"/>
    <mergeCell ref="A2:J2"/>
    <mergeCell ref="A3:C3"/>
    <mergeCell ref="D3:F3"/>
    <mergeCell ref="G3:I3"/>
  </mergeCells>
  <dataValidations count="1">
    <dataValidation type="list" allowBlank="1" sqref="I7:I56" xr:uid="{00000000-0002-0000-0400-000000000000}">
      <formula1>"Аварийно,Висок,Среден,Нисък,Планиран"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490"/>
  </sheetPr>
  <dimension ref="A1:J24"/>
  <sheetViews>
    <sheetView showGridLines="0" zoomScaleNormal="100" workbookViewId="0">
      <pane ySplit="3" topLeftCell="A4" activePane="bottomLeft" state="frozen"/>
      <selection pane="bottomLeft" activeCell="J7" sqref="J7"/>
    </sheetView>
  </sheetViews>
  <sheetFormatPr baseColWidth="10" defaultColWidth="8.6640625" defaultRowHeight="15" x14ac:dyDescent="0.2"/>
  <cols>
    <col min="1" max="1" width="5" customWidth="1"/>
    <col min="2" max="2" width="10" customWidth="1"/>
    <col min="3" max="3" width="24" customWidth="1"/>
    <col min="4" max="4" width="12" customWidth="1"/>
    <col min="5" max="5" width="10" customWidth="1"/>
    <col min="6" max="7" width="12" customWidth="1"/>
    <col min="8" max="8" width="10" customWidth="1"/>
    <col min="9" max="9" width="14" customWidth="1"/>
    <col min="10" max="10" width="18" customWidth="1"/>
  </cols>
  <sheetData>
    <row r="1" spans="1:10" ht="36" customHeight="1" x14ac:dyDescent="0.2">
      <c r="A1" s="13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5.5" customHeight="1" x14ac:dyDescent="0.2">
      <c r="A3" s="23" t="s">
        <v>137</v>
      </c>
      <c r="B3" s="23" t="s">
        <v>188</v>
      </c>
      <c r="C3" s="23" t="s">
        <v>189</v>
      </c>
      <c r="D3" s="23" t="s">
        <v>190</v>
      </c>
      <c r="E3" s="23" t="s">
        <v>191</v>
      </c>
      <c r="F3" s="23" t="s">
        <v>192</v>
      </c>
      <c r="G3" s="23" t="s">
        <v>193</v>
      </c>
      <c r="H3" s="23" t="s">
        <v>194</v>
      </c>
      <c r="I3" s="23" t="s">
        <v>195</v>
      </c>
      <c r="J3" s="23" t="s">
        <v>196</v>
      </c>
    </row>
    <row r="4" spans="1:10" ht="19.5" customHeight="1" x14ac:dyDescent="0.2">
      <c r="A4" s="32">
        <v>1</v>
      </c>
      <c r="B4" s="33"/>
      <c r="C4" s="25" t="s">
        <v>197</v>
      </c>
      <c r="D4" s="35" t="s">
        <v>198</v>
      </c>
      <c r="E4" s="35">
        <v>1</v>
      </c>
      <c r="F4" s="34"/>
      <c r="G4" s="46">
        <f t="shared" ref="G4:G23" si="0">IFERROR(E4*F4,0)</f>
        <v>0</v>
      </c>
      <c r="H4" s="35"/>
      <c r="I4" s="15"/>
      <c r="J4" s="15"/>
    </row>
    <row r="5" spans="1:10" ht="19.5" customHeight="1" x14ac:dyDescent="0.2">
      <c r="A5" s="37">
        <v>2</v>
      </c>
      <c r="B5" s="33"/>
      <c r="C5" s="27" t="s">
        <v>199</v>
      </c>
      <c r="D5" s="35" t="s">
        <v>198</v>
      </c>
      <c r="E5" s="35">
        <v>1</v>
      </c>
      <c r="F5" s="34"/>
      <c r="G5" s="46">
        <f t="shared" si="0"/>
        <v>0</v>
      </c>
      <c r="H5" s="35"/>
      <c r="I5" s="15"/>
      <c r="J5" s="15"/>
    </row>
    <row r="6" spans="1:10" ht="19.5" customHeight="1" x14ac:dyDescent="0.2">
      <c r="A6" s="32">
        <v>3</v>
      </c>
      <c r="B6" s="33"/>
      <c r="C6" s="25" t="s">
        <v>200</v>
      </c>
      <c r="D6" s="35" t="s">
        <v>198</v>
      </c>
      <c r="E6" s="35">
        <v>1</v>
      </c>
      <c r="F6" s="34"/>
      <c r="G6" s="46">
        <f t="shared" si="0"/>
        <v>0</v>
      </c>
      <c r="H6" s="35"/>
      <c r="I6" s="15"/>
      <c r="J6" s="15"/>
    </row>
    <row r="7" spans="1:10" ht="19.5" customHeight="1" x14ac:dyDescent="0.2">
      <c r="A7" s="37">
        <v>4</v>
      </c>
      <c r="B7" s="33"/>
      <c r="C7" s="27" t="s">
        <v>201</v>
      </c>
      <c r="D7" s="35" t="s">
        <v>198</v>
      </c>
      <c r="E7" s="35">
        <v>1</v>
      </c>
      <c r="F7" s="34"/>
      <c r="G7" s="46">
        <f t="shared" si="0"/>
        <v>0</v>
      </c>
      <c r="H7" s="35"/>
      <c r="I7" s="15"/>
      <c r="J7" s="15"/>
    </row>
    <row r="8" spans="1:10" ht="19.5" customHeight="1" x14ac:dyDescent="0.2">
      <c r="A8" s="32">
        <v>5</v>
      </c>
      <c r="B8" s="33"/>
      <c r="C8" s="25" t="s">
        <v>202</v>
      </c>
      <c r="D8" s="35" t="s">
        <v>198</v>
      </c>
      <c r="E8" s="35">
        <v>1</v>
      </c>
      <c r="F8" s="34"/>
      <c r="G8" s="46">
        <f t="shared" si="0"/>
        <v>0</v>
      </c>
      <c r="H8" s="35"/>
      <c r="I8" s="15"/>
      <c r="J8" s="15"/>
    </row>
    <row r="9" spans="1:10" ht="19.5" customHeight="1" x14ac:dyDescent="0.2">
      <c r="A9" s="37">
        <v>6</v>
      </c>
      <c r="B9" s="33"/>
      <c r="C9" s="27" t="s">
        <v>203</v>
      </c>
      <c r="D9" s="35" t="s">
        <v>204</v>
      </c>
      <c r="E9" s="35">
        <v>1</v>
      </c>
      <c r="F9" s="34"/>
      <c r="G9" s="46">
        <f t="shared" si="0"/>
        <v>0</v>
      </c>
      <c r="H9" s="35"/>
      <c r="I9" s="15"/>
      <c r="J9" s="15"/>
    </row>
    <row r="10" spans="1:10" ht="19.5" customHeight="1" x14ac:dyDescent="0.2">
      <c r="A10" s="32">
        <v>7</v>
      </c>
      <c r="B10" s="33"/>
      <c r="C10" s="25" t="s">
        <v>205</v>
      </c>
      <c r="D10" s="35" t="s">
        <v>204</v>
      </c>
      <c r="E10" s="35">
        <v>1</v>
      </c>
      <c r="F10" s="34"/>
      <c r="G10" s="46">
        <f t="shared" si="0"/>
        <v>0</v>
      </c>
      <c r="H10" s="35"/>
      <c r="I10" s="15"/>
      <c r="J10" s="15"/>
    </row>
    <row r="11" spans="1:10" ht="19.5" customHeight="1" x14ac:dyDescent="0.2">
      <c r="A11" s="37">
        <v>8</v>
      </c>
      <c r="B11" s="33"/>
      <c r="C11" s="27" t="s">
        <v>206</v>
      </c>
      <c r="D11" s="35" t="s">
        <v>204</v>
      </c>
      <c r="E11" s="35">
        <v>2</v>
      </c>
      <c r="F11" s="34"/>
      <c r="G11" s="46">
        <f t="shared" si="0"/>
        <v>0</v>
      </c>
      <c r="H11" s="35"/>
      <c r="I11" s="15"/>
      <c r="J11" s="15"/>
    </row>
    <row r="12" spans="1:10" ht="19.5" customHeight="1" x14ac:dyDescent="0.2">
      <c r="A12" s="32">
        <v>9</v>
      </c>
      <c r="B12" s="33"/>
      <c r="C12" s="25" t="s">
        <v>207</v>
      </c>
      <c r="D12" s="35" t="s">
        <v>208</v>
      </c>
      <c r="E12" s="35">
        <v>1</v>
      </c>
      <c r="F12" s="34"/>
      <c r="G12" s="46">
        <f t="shared" si="0"/>
        <v>0</v>
      </c>
      <c r="H12" s="35"/>
      <c r="I12" s="15"/>
      <c r="J12" s="15"/>
    </row>
    <row r="13" spans="1:10" ht="19.5" customHeight="1" x14ac:dyDescent="0.2">
      <c r="A13" s="37">
        <v>10</v>
      </c>
      <c r="B13" s="33"/>
      <c r="C13" s="27" t="s">
        <v>209</v>
      </c>
      <c r="D13" s="35" t="s">
        <v>208</v>
      </c>
      <c r="E13" s="35">
        <v>1</v>
      </c>
      <c r="F13" s="34"/>
      <c r="G13" s="46">
        <f t="shared" si="0"/>
        <v>0</v>
      </c>
      <c r="H13" s="35"/>
      <c r="I13" s="15"/>
      <c r="J13" s="15"/>
    </row>
    <row r="14" spans="1:10" ht="19.5" customHeight="1" x14ac:dyDescent="0.2">
      <c r="A14" s="32">
        <v>11</v>
      </c>
      <c r="B14" s="33"/>
      <c r="C14" s="25" t="s">
        <v>210</v>
      </c>
      <c r="D14" s="35" t="s">
        <v>208</v>
      </c>
      <c r="E14" s="35">
        <v>1</v>
      </c>
      <c r="F14" s="34"/>
      <c r="G14" s="46">
        <f t="shared" si="0"/>
        <v>0</v>
      </c>
      <c r="H14" s="35"/>
      <c r="I14" s="15"/>
      <c r="J14" s="15"/>
    </row>
    <row r="15" spans="1:10" ht="19.5" customHeight="1" x14ac:dyDescent="0.2">
      <c r="A15" s="37">
        <v>12</v>
      </c>
      <c r="B15" s="33"/>
      <c r="C15" s="27" t="s">
        <v>211</v>
      </c>
      <c r="D15" s="35" t="s">
        <v>208</v>
      </c>
      <c r="E15" s="35">
        <v>1</v>
      </c>
      <c r="F15" s="34"/>
      <c r="G15" s="46">
        <f t="shared" si="0"/>
        <v>0</v>
      </c>
      <c r="H15" s="35"/>
      <c r="I15" s="15"/>
      <c r="J15" s="15"/>
    </row>
    <row r="16" spans="1:10" ht="19.5" customHeight="1" x14ac:dyDescent="0.2">
      <c r="A16" s="32">
        <v>13</v>
      </c>
      <c r="B16" s="33"/>
      <c r="C16" s="25" t="s">
        <v>212</v>
      </c>
      <c r="D16" s="35" t="s">
        <v>208</v>
      </c>
      <c r="E16" s="35">
        <v>1</v>
      </c>
      <c r="F16" s="34"/>
      <c r="G16" s="46">
        <f t="shared" si="0"/>
        <v>0</v>
      </c>
      <c r="H16" s="35"/>
      <c r="I16" s="15"/>
      <c r="J16" s="15"/>
    </row>
    <row r="17" spans="1:10" ht="19.5" customHeight="1" x14ac:dyDescent="0.2">
      <c r="A17" s="37">
        <v>14</v>
      </c>
      <c r="B17" s="33"/>
      <c r="C17" s="27" t="s">
        <v>213</v>
      </c>
      <c r="D17" s="35" t="s">
        <v>208</v>
      </c>
      <c r="E17" s="35">
        <v>1</v>
      </c>
      <c r="F17" s="34"/>
      <c r="G17" s="46">
        <f t="shared" si="0"/>
        <v>0</v>
      </c>
      <c r="H17" s="35"/>
      <c r="I17" s="15"/>
      <c r="J17" s="15"/>
    </row>
    <row r="18" spans="1:10" ht="19.5" customHeight="1" x14ac:dyDescent="0.2">
      <c r="A18" s="32">
        <v>15</v>
      </c>
      <c r="B18" s="33"/>
      <c r="C18" s="25" t="s">
        <v>214</v>
      </c>
      <c r="D18" s="35" t="s">
        <v>208</v>
      </c>
      <c r="E18" s="35">
        <v>1</v>
      </c>
      <c r="F18" s="34"/>
      <c r="G18" s="46">
        <f t="shared" si="0"/>
        <v>0</v>
      </c>
      <c r="H18" s="35"/>
      <c r="I18" s="15"/>
      <c r="J18" s="15"/>
    </row>
    <row r="19" spans="1:10" ht="19.5" customHeight="1" x14ac:dyDescent="0.2">
      <c r="A19" s="37">
        <v>16</v>
      </c>
      <c r="B19" s="33"/>
      <c r="C19" s="27" t="s">
        <v>215</v>
      </c>
      <c r="D19" s="35" t="s">
        <v>216</v>
      </c>
      <c r="E19" s="35">
        <v>1</v>
      </c>
      <c r="F19" s="34"/>
      <c r="G19" s="46">
        <f t="shared" si="0"/>
        <v>0</v>
      </c>
      <c r="H19" s="35"/>
      <c r="I19" s="15"/>
      <c r="J19" s="15"/>
    </row>
    <row r="20" spans="1:10" ht="19.5" customHeight="1" x14ac:dyDescent="0.2">
      <c r="A20" s="32">
        <v>17</v>
      </c>
      <c r="B20" s="33"/>
      <c r="C20" s="25" t="s">
        <v>217</v>
      </c>
      <c r="D20" s="35" t="s">
        <v>216</v>
      </c>
      <c r="E20" s="35">
        <v>1</v>
      </c>
      <c r="F20" s="34"/>
      <c r="G20" s="46">
        <f t="shared" si="0"/>
        <v>0</v>
      </c>
      <c r="H20" s="35"/>
      <c r="I20" s="15"/>
      <c r="J20" s="15"/>
    </row>
    <row r="21" spans="1:10" ht="19.5" customHeight="1" x14ac:dyDescent="0.2">
      <c r="A21" s="37">
        <v>18</v>
      </c>
      <c r="B21" s="33"/>
      <c r="C21" s="27" t="s">
        <v>218</v>
      </c>
      <c r="D21" s="35" t="s">
        <v>216</v>
      </c>
      <c r="E21" s="35">
        <v>1</v>
      </c>
      <c r="F21" s="34"/>
      <c r="G21" s="46">
        <f t="shared" si="0"/>
        <v>0</v>
      </c>
      <c r="H21" s="35"/>
      <c r="I21" s="15"/>
      <c r="J21" s="15"/>
    </row>
    <row r="22" spans="1:10" ht="19.5" customHeight="1" x14ac:dyDescent="0.2">
      <c r="A22" s="32">
        <v>19</v>
      </c>
      <c r="B22" s="33"/>
      <c r="C22" s="25" t="s">
        <v>219</v>
      </c>
      <c r="D22" s="35" t="s">
        <v>220</v>
      </c>
      <c r="E22" s="35">
        <v>1</v>
      </c>
      <c r="F22" s="34"/>
      <c r="G22" s="46">
        <f t="shared" si="0"/>
        <v>0</v>
      </c>
      <c r="H22" s="35"/>
      <c r="I22" s="15"/>
      <c r="J22" s="15"/>
    </row>
    <row r="23" spans="1:10" ht="19.5" customHeight="1" x14ac:dyDescent="0.2">
      <c r="A23" s="37">
        <v>20</v>
      </c>
      <c r="B23" s="33"/>
      <c r="C23" s="27" t="s">
        <v>221</v>
      </c>
      <c r="D23" s="35" t="s">
        <v>220</v>
      </c>
      <c r="E23" s="35">
        <v>1</v>
      </c>
      <c r="F23" s="34"/>
      <c r="G23" s="46">
        <f t="shared" si="0"/>
        <v>0</v>
      </c>
      <c r="H23" s="35"/>
      <c r="I23" s="15"/>
      <c r="J23" s="15"/>
    </row>
    <row r="24" spans="1:10" ht="21.75" customHeight="1" x14ac:dyDescent="0.2">
      <c r="A24" s="2" t="s">
        <v>222</v>
      </c>
      <c r="B24" s="2"/>
      <c r="C24" s="2"/>
      <c r="D24" s="2"/>
      <c r="E24" s="2"/>
      <c r="F24" s="2"/>
      <c r="G24" s="47">
        <f>IFERROR(SUM(G4:G23),0)</f>
        <v>0</v>
      </c>
    </row>
  </sheetData>
  <mergeCells count="3">
    <mergeCell ref="A1:J1"/>
    <mergeCell ref="A2:J2"/>
    <mergeCell ref="A24:F24"/>
  </mergeCells>
  <dataValidations count="2">
    <dataValidation type="list" allowBlank="1" sqref="D4:D23" xr:uid="{00000000-0002-0000-0500-000000000000}">
      <formula1>"Хол,Спалня,Кухня,Баня,WC,Коридор,Балкон,Мазе,Общо"</formula1>
      <formula2>0</formula2>
    </dataValidation>
    <dataValidation type="list" allowBlank="1" sqref="H4:H23" xr:uid="{00000000-0002-0000-0500-000001000000}">
      <formula1>"Отлично,Добро,Задоволително,Износено,За смяна"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84C"/>
  </sheetPr>
  <dimension ref="A1:H25"/>
  <sheetViews>
    <sheetView showGridLines="0" zoomScaleNormal="100" workbookViewId="0">
      <selection activeCell="G9" sqref="G9:H9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4" width="16" customWidth="1"/>
    <col min="5" max="5" width="3" customWidth="1"/>
    <col min="6" max="6" width="28" customWidth="1"/>
    <col min="7" max="8" width="16" customWidth="1"/>
  </cols>
  <sheetData>
    <row r="1" spans="1:8" ht="36" customHeight="1" x14ac:dyDescent="0.2">
      <c r="A1" s="13" t="s">
        <v>223</v>
      </c>
      <c r="B1" s="13"/>
      <c r="C1" s="13"/>
      <c r="D1" s="13"/>
      <c r="E1" s="13"/>
      <c r="F1" s="13"/>
      <c r="G1" s="13"/>
      <c r="H1" s="13"/>
    </row>
    <row r="2" spans="1:8" ht="18" customHeight="1" x14ac:dyDescent="0.2">
      <c r="A2" s="12" t="s">
        <v>224</v>
      </c>
      <c r="B2" s="12"/>
      <c r="C2" s="12"/>
      <c r="D2" s="12"/>
      <c r="E2" s="12"/>
      <c r="F2" s="12"/>
      <c r="G2" s="12"/>
      <c r="H2" s="12"/>
    </row>
    <row r="3" spans="1:8" ht="6" customHeight="1" x14ac:dyDescent="0.2"/>
    <row r="4" spans="1:8" ht="21.75" customHeight="1" x14ac:dyDescent="0.2">
      <c r="A4" s="11" t="s">
        <v>225</v>
      </c>
      <c r="B4" s="11"/>
      <c r="C4" s="11"/>
      <c r="D4" s="11"/>
      <c r="F4" s="11" t="s">
        <v>226</v>
      </c>
      <c r="G4" s="11"/>
      <c r="H4" s="11"/>
    </row>
    <row r="5" spans="1:8" ht="21.75" customHeight="1" x14ac:dyDescent="0.2">
      <c r="B5" s="14" t="s">
        <v>30</v>
      </c>
      <c r="C5" s="46">
        <f>'🏠 Паспорт на имота'!C19</f>
        <v>0</v>
      </c>
      <c r="D5" s="48"/>
      <c r="F5" s="49" t="s">
        <v>227</v>
      </c>
      <c r="G5" s="1"/>
      <c r="H5" s="1"/>
    </row>
    <row r="6" spans="1:8" ht="21.75" customHeight="1" x14ac:dyDescent="0.2">
      <c r="B6" s="14" t="s">
        <v>228</v>
      </c>
      <c r="C6" s="46">
        <f>IFERROR('🔨 Ремонти'!G4+'🛋️ Обзавеждане'!G24,0)</f>
        <v>0</v>
      </c>
      <c r="D6" s="48"/>
      <c r="F6" s="49" t="s">
        <v>229</v>
      </c>
      <c r="G6" s="1"/>
      <c r="H6" s="1"/>
    </row>
    <row r="7" spans="1:8" ht="21.75" customHeight="1" x14ac:dyDescent="0.2">
      <c r="B7" s="14" t="s">
        <v>230</v>
      </c>
      <c r="C7" s="46">
        <f>IFERROR('🏠 Паспорт на имота'!C20/1.95583,0)</f>
        <v>0</v>
      </c>
      <c r="D7" s="48"/>
      <c r="F7" s="49" t="s">
        <v>231</v>
      </c>
      <c r="G7" s="1"/>
      <c r="H7" s="1"/>
    </row>
    <row r="8" spans="1:8" ht="21.75" customHeight="1" x14ac:dyDescent="0.2">
      <c r="B8" s="20" t="s">
        <v>42</v>
      </c>
      <c r="C8" s="50">
        <f>'🏠 Паспорт на имота'!C25</f>
        <v>0</v>
      </c>
      <c r="D8" s="48"/>
      <c r="F8" s="49" t="s">
        <v>232</v>
      </c>
      <c r="G8" s="1"/>
      <c r="H8" s="1"/>
    </row>
    <row r="9" spans="1:8" ht="21.75" customHeight="1" x14ac:dyDescent="0.2">
      <c r="B9" s="14" t="s">
        <v>27</v>
      </c>
      <c r="C9" s="51">
        <f>'🏠 Паспорт на имота'!C17</f>
        <v>0</v>
      </c>
      <c r="D9" s="48"/>
      <c r="F9" s="49" t="s">
        <v>233</v>
      </c>
      <c r="G9" s="1"/>
      <c r="H9" s="1"/>
    </row>
    <row r="10" spans="1:8" ht="21.75" customHeight="1" x14ac:dyDescent="0.2">
      <c r="F10" s="49" t="s">
        <v>234</v>
      </c>
      <c r="G10" s="1"/>
      <c r="H10" s="1"/>
    </row>
    <row r="11" spans="1:8" ht="21.75" customHeight="1" x14ac:dyDescent="0.2">
      <c r="A11" s="11" t="s">
        <v>235</v>
      </c>
      <c r="B11" s="11"/>
      <c r="C11" s="11"/>
      <c r="D11" s="11"/>
      <c r="F11" s="49" t="s">
        <v>236</v>
      </c>
      <c r="G11" s="1"/>
      <c r="H11" s="1"/>
    </row>
    <row r="12" spans="1:8" ht="21.75" customHeight="1" x14ac:dyDescent="0.2">
      <c r="B12" s="52" t="s">
        <v>237</v>
      </c>
      <c r="C12" s="53">
        <f>IFERROR(SUM('💶 Плащания наем'!F8:F43),0)</f>
        <v>600</v>
      </c>
      <c r="D12" s="48"/>
      <c r="F12" s="49" t="s">
        <v>238</v>
      </c>
      <c r="G12" s="1"/>
      <c r="H12" s="1"/>
    </row>
    <row r="13" spans="1:8" ht="21.75" customHeight="1" x14ac:dyDescent="0.2">
      <c r="B13" s="52" t="s">
        <v>239</v>
      </c>
      <c r="C13" s="53">
        <f>IFERROR('👤 Наематели'!C18,0)</f>
        <v>1200</v>
      </c>
      <c r="D13" s="48"/>
      <c r="F13" s="49" t="s">
        <v>240</v>
      </c>
      <c r="G13" s="1"/>
      <c r="H13" s="1"/>
    </row>
    <row r="14" spans="1:8" ht="21.75" customHeight="1" x14ac:dyDescent="0.2">
      <c r="B14" s="52" t="s">
        <v>241</v>
      </c>
      <c r="C14" s="53">
        <f>IFERROR('👤 Наематели'!C20,0)</f>
        <v>600</v>
      </c>
      <c r="D14" s="48"/>
      <c r="F14" s="49" t="s">
        <v>242</v>
      </c>
      <c r="G14" s="1"/>
      <c r="H14" s="1"/>
    </row>
    <row r="15" spans="1:8" ht="7.5" customHeight="1" x14ac:dyDescent="0.2"/>
    <row r="16" spans="1:8" ht="21.75" customHeight="1" x14ac:dyDescent="0.2">
      <c r="A16" s="11" t="s">
        <v>243</v>
      </c>
      <c r="B16" s="11"/>
      <c r="C16" s="11"/>
      <c r="D16" s="11"/>
    </row>
    <row r="17" spans="1:4" ht="21.75" customHeight="1" x14ac:dyDescent="0.2">
      <c r="B17" s="54" t="s">
        <v>244</v>
      </c>
      <c r="C17" s="55">
        <f>IFERROR(SUM('📋 Разходи и сметки'!D7:D66),0)</f>
        <v>0</v>
      </c>
      <c r="D17" s="48"/>
    </row>
    <row r="18" spans="1:4" ht="21.75" customHeight="1" x14ac:dyDescent="0.2">
      <c r="B18" s="54" t="s">
        <v>245</v>
      </c>
      <c r="C18" s="55">
        <f>IFERROR('🔨 Ремонти'!G4,0)</f>
        <v>0</v>
      </c>
      <c r="D18" s="48"/>
    </row>
    <row r="19" spans="1:4" ht="21.75" customHeight="1" x14ac:dyDescent="0.2">
      <c r="B19" s="56" t="s">
        <v>246</v>
      </c>
      <c r="C19" s="57">
        <f>IFERROR(SUM('📋 Разходи и сметки'!D7:D66)+'🔨 Ремонти'!G4,0)</f>
        <v>0</v>
      </c>
      <c r="D19" s="48"/>
    </row>
    <row r="20" spans="1:4" ht="7.5" customHeight="1" x14ac:dyDescent="0.2"/>
    <row r="21" spans="1:4" ht="21.75" customHeight="1" x14ac:dyDescent="0.2">
      <c r="A21" s="11" t="s">
        <v>247</v>
      </c>
      <c r="B21" s="11"/>
      <c r="C21" s="11"/>
      <c r="D21" s="11"/>
    </row>
    <row r="22" spans="1:4" ht="21.75" customHeight="1" x14ac:dyDescent="0.2">
      <c r="B22" s="58" t="s">
        <v>248</v>
      </c>
      <c r="C22" s="59">
        <f>IFERROR(C12-C19,0)</f>
        <v>600</v>
      </c>
      <c r="D22" s="48"/>
    </row>
    <row r="23" spans="1:4" ht="21.75" customHeight="1" x14ac:dyDescent="0.2">
      <c r="B23" s="60" t="s">
        <v>249</v>
      </c>
      <c r="C23" s="61">
        <f>IFERROR(C19/C12,0)</f>
        <v>0</v>
      </c>
      <c r="D23" s="48"/>
    </row>
    <row r="24" spans="1:4" ht="21.75" customHeight="1" x14ac:dyDescent="0.2">
      <c r="B24" s="62" t="s">
        <v>250</v>
      </c>
      <c r="C24" s="63">
        <f>IFERROR(C12/C5*12,0)</f>
        <v>0</v>
      </c>
      <c r="D24" s="48"/>
    </row>
    <row r="25" spans="1:4" ht="21.75" customHeight="1" x14ac:dyDescent="0.2">
      <c r="B25" s="64" t="s">
        <v>251</v>
      </c>
      <c r="C25" s="65">
        <f>IFERROR(C22/C8*12,0)</f>
        <v>0</v>
      </c>
      <c r="D25" s="48"/>
    </row>
  </sheetData>
  <mergeCells count="17">
    <mergeCell ref="A16:D16"/>
    <mergeCell ref="A21:D21"/>
    <mergeCell ref="A11:D11"/>
    <mergeCell ref="G11:H11"/>
    <mergeCell ref="G12:H12"/>
    <mergeCell ref="G13:H13"/>
    <mergeCell ref="G14:H14"/>
    <mergeCell ref="G6:H6"/>
    <mergeCell ref="G7:H7"/>
    <mergeCell ref="G8:H8"/>
    <mergeCell ref="G9:H9"/>
    <mergeCell ref="G10:H10"/>
    <mergeCell ref="A1:H1"/>
    <mergeCell ref="A2:H2"/>
    <mergeCell ref="A4:D4"/>
    <mergeCell ref="F4:H4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C2626"/>
  </sheetPr>
  <dimension ref="A1:H14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" customWidth="1"/>
    <col min="2" max="2" width="8" customWidth="1"/>
    <col min="3" max="3" width="32" customWidth="1"/>
    <col min="4" max="4" width="14" customWidth="1"/>
    <col min="5" max="5" width="16" customWidth="1"/>
    <col min="6" max="6" width="14" customWidth="1"/>
    <col min="7" max="7" width="20" customWidth="1"/>
    <col min="8" max="8" width="14" customWidth="1"/>
  </cols>
  <sheetData>
    <row r="1" spans="1:8" ht="36" customHeight="1" x14ac:dyDescent="0.2">
      <c r="A1" s="13" t="s">
        <v>252</v>
      </c>
      <c r="B1" s="13"/>
      <c r="C1" s="13"/>
      <c r="D1" s="13"/>
      <c r="E1" s="13"/>
      <c r="F1" s="13"/>
      <c r="G1" s="13"/>
      <c r="H1" s="13"/>
    </row>
    <row r="2" spans="1:8" ht="18" customHeight="1" x14ac:dyDescent="0.2">
      <c r="A2" s="12" t="s">
        <v>253</v>
      </c>
      <c r="B2" s="12"/>
      <c r="C2" s="12"/>
      <c r="D2" s="12"/>
      <c r="E2" s="12"/>
      <c r="F2" s="12"/>
      <c r="G2" s="12"/>
      <c r="H2" s="12"/>
    </row>
    <row r="3" spans="1:8" ht="25.5" customHeight="1" x14ac:dyDescent="0.2">
      <c r="A3" s="29" t="s">
        <v>137</v>
      </c>
      <c r="B3" s="29" t="s">
        <v>166</v>
      </c>
      <c r="C3" s="29" t="s">
        <v>254</v>
      </c>
      <c r="D3" s="29" t="s">
        <v>255</v>
      </c>
      <c r="E3" s="29" t="s">
        <v>256</v>
      </c>
      <c r="F3" s="29" t="s">
        <v>257</v>
      </c>
      <c r="G3" s="29" t="s">
        <v>258</v>
      </c>
      <c r="H3" s="29" t="s">
        <v>75</v>
      </c>
    </row>
    <row r="4" spans="1:8" ht="21.75" customHeight="1" x14ac:dyDescent="0.2">
      <c r="A4" s="30">
        <v>1</v>
      </c>
      <c r="B4" s="33"/>
      <c r="C4" s="66" t="s">
        <v>259</v>
      </c>
      <c r="D4" s="67" t="s">
        <v>22</v>
      </c>
      <c r="E4" s="15"/>
      <c r="F4" s="35" t="s">
        <v>260</v>
      </c>
      <c r="G4" s="15" t="s">
        <v>261</v>
      </c>
      <c r="H4" s="15"/>
    </row>
    <row r="5" spans="1:8" ht="21.75" customHeight="1" x14ac:dyDescent="0.2">
      <c r="A5" s="31">
        <v>2</v>
      </c>
      <c r="B5" s="33"/>
      <c r="C5" s="68" t="s">
        <v>262</v>
      </c>
      <c r="D5" s="69" t="s">
        <v>263</v>
      </c>
      <c r="E5" s="15"/>
      <c r="F5" s="35" t="s">
        <v>260</v>
      </c>
      <c r="G5" s="15" t="s">
        <v>261</v>
      </c>
      <c r="H5" s="15"/>
    </row>
    <row r="6" spans="1:8" ht="21.75" customHeight="1" x14ac:dyDescent="0.2">
      <c r="A6" s="30">
        <v>3</v>
      </c>
      <c r="B6" s="33"/>
      <c r="C6" s="66" t="s">
        <v>100</v>
      </c>
      <c r="D6" s="67" t="s">
        <v>102</v>
      </c>
      <c r="E6" s="15"/>
      <c r="F6" s="35" t="s">
        <v>260</v>
      </c>
      <c r="G6" s="15" t="s">
        <v>264</v>
      </c>
      <c r="H6" s="15"/>
    </row>
    <row r="7" spans="1:8" ht="21.75" customHeight="1" x14ac:dyDescent="0.2">
      <c r="A7" s="31">
        <v>4</v>
      </c>
      <c r="B7" s="33"/>
      <c r="C7" s="68" t="s">
        <v>265</v>
      </c>
      <c r="D7" s="69" t="s">
        <v>266</v>
      </c>
      <c r="E7" s="15"/>
      <c r="F7" s="35" t="s">
        <v>260</v>
      </c>
      <c r="G7" s="15" t="s">
        <v>267</v>
      </c>
      <c r="H7" s="15"/>
    </row>
    <row r="8" spans="1:8" ht="21.75" customHeight="1" x14ac:dyDescent="0.2">
      <c r="A8" s="30">
        <v>5</v>
      </c>
      <c r="B8" s="33"/>
      <c r="C8" s="66" t="s">
        <v>268</v>
      </c>
      <c r="D8" s="67" t="s">
        <v>266</v>
      </c>
      <c r="E8" s="15"/>
      <c r="F8" s="35" t="s">
        <v>260</v>
      </c>
      <c r="G8" s="15" t="s">
        <v>267</v>
      </c>
      <c r="H8" s="15"/>
    </row>
    <row r="9" spans="1:8" ht="21.75" customHeight="1" x14ac:dyDescent="0.2">
      <c r="A9" s="31">
        <v>6</v>
      </c>
      <c r="B9" s="33"/>
      <c r="C9" s="68" t="s">
        <v>269</v>
      </c>
      <c r="D9" s="69" t="s">
        <v>270</v>
      </c>
      <c r="E9" s="15"/>
      <c r="F9" s="35" t="s">
        <v>260</v>
      </c>
      <c r="G9" s="15" t="s">
        <v>271</v>
      </c>
      <c r="H9" s="15"/>
    </row>
    <row r="10" spans="1:8" ht="21.75" customHeight="1" x14ac:dyDescent="0.2">
      <c r="A10" s="30">
        <v>7</v>
      </c>
      <c r="B10" s="33"/>
      <c r="C10" s="66" t="s">
        <v>272</v>
      </c>
      <c r="D10" s="67" t="s">
        <v>273</v>
      </c>
      <c r="E10" s="15"/>
      <c r="F10" s="35" t="s">
        <v>260</v>
      </c>
      <c r="G10" s="15" t="s">
        <v>274</v>
      </c>
      <c r="H10" s="15"/>
    </row>
    <row r="11" spans="1:8" ht="21.75" customHeight="1" x14ac:dyDescent="0.2">
      <c r="A11" s="31">
        <v>8</v>
      </c>
      <c r="B11" s="33"/>
      <c r="C11" s="68" t="s">
        <v>275</v>
      </c>
      <c r="D11" s="69" t="s">
        <v>276</v>
      </c>
      <c r="E11" s="15"/>
      <c r="F11" s="35" t="s">
        <v>260</v>
      </c>
      <c r="G11" s="15" t="s">
        <v>277</v>
      </c>
      <c r="H11" s="15"/>
    </row>
    <row r="12" spans="1:8" ht="21.75" customHeight="1" x14ac:dyDescent="0.2">
      <c r="A12" s="30">
        <v>9</v>
      </c>
      <c r="B12" s="33"/>
      <c r="C12" s="66" t="s">
        <v>278</v>
      </c>
      <c r="D12" s="67" t="s">
        <v>279</v>
      </c>
      <c r="E12" s="15"/>
      <c r="F12" s="35" t="s">
        <v>260</v>
      </c>
      <c r="G12" s="15" t="s">
        <v>277</v>
      </c>
      <c r="H12" s="15"/>
    </row>
    <row r="13" spans="1:8" ht="21.75" customHeight="1" x14ac:dyDescent="0.2">
      <c r="A13" s="31">
        <v>10</v>
      </c>
      <c r="B13" s="33"/>
      <c r="C13" s="68" t="s">
        <v>280</v>
      </c>
      <c r="D13" s="69" t="s">
        <v>72</v>
      </c>
      <c r="E13" s="15"/>
      <c r="F13" s="35" t="s">
        <v>131</v>
      </c>
      <c r="G13" s="15" t="s">
        <v>281</v>
      </c>
      <c r="H13" s="15"/>
    </row>
    <row r="14" spans="1:8" ht="21.75" customHeight="1" x14ac:dyDescent="0.2">
      <c r="A14" s="30">
        <v>11</v>
      </c>
      <c r="B14" s="33"/>
      <c r="C14" s="66" t="s">
        <v>282</v>
      </c>
      <c r="D14" s="67" t="s">
        <v>72</v>
      </c>
      <c r="E14" s="15"/>
      <c r="F14" s="35" t="s">
        <v>131</v>
      </c>
      <c r="G14" s="15" t="s">
        <v>281</v>
      </c>
      <c r="H14" s="15"/>
    </row>
  </sheetData>
  <mergeCells count="2">
    <mergeCell ref="A1:H1"/>
    <mergeCell ref="A2:H2"/>
  </mergeCells>
  <dataValidations count="1">
    <dataValidation type="list" allowBlank="1" sqref="F4:F35" xr:uid="{00000000-0002-0000-0700-000000000000}">
      <formula1>"Да,Не,Копие,Скенирано"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🏠 Паспорт на имота</vt:lpstr>
      <vt:lpstr>👤 Наематели</vt:lpstr>
      <vt:lpstr>💶 Плащания наем</vt:lpstr>
      <vt:lpstr>📋 Разходи и сметки</vt:lpstr>
      <vt:lpstr>🔨 Ремонти</vt:lpstr>
      <vt:lpstr>🛋️ Обзавеждане</vt:lpstr>
      <vt:lpstr>📊 Финансово резюме</vt:lpstr>
      <vt:lpstr>📂 Документи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Teodor Boev</cp:lastModifiedBy>
  <cp:revision>0</cp:revision>
  <dcterms:created xsi:type="dcterms:W3CDTF">2026-04-22T07:46:18Z</dcterms:created>
  <dcterms:modified xsi:type="dcterms:W3CDTF">2026-04-23T10:25:37Z</dcterms:modified>
  <dc:language>en-US</dc:language>
</cp:coreProperties>
</file>