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ЗАДАЧА" sheetId="1" state="visible" r:id="rId3"/>
    <sheet name="🏠 Паспорт на имота" sheetId="2" state="visible" r:id="rId4"/>
    <sheet name="👤 Наемател" sheetId="3" state="visible" r:id="rId5"/>
    <sheet name="💶 Плащания" sheetId="4" state="visible" r:id="rId6"/>
    <sheet name="📋 Разходи" sheetId="5" state="visible" r:id="rId7"/>
    <sheet name="🔨 Ремонти" sheetId="6" state="visible" r:id="rId8"/>
    <sheet name="🛋️ Обзавеждане" sheetId="7" state="visible" r:id="rId9"/>
    <sheet name="📊 Финансов анализ" sheetId="8" state="visible" r:id="rId10"/>
    <sheet name="🏆 Рубрика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<sst xmlns="http://schemas.openxmlformats.org/spreadsheetml/2006/main" count="590" uniqueCount="427">
  <si>
    <t xml:space="preserve">🎯  ЗАДАЧА: ПЛАН ЗА УПРАВЛЕНИЕ НА НЕДВИЖИМ ИМОТ</t>
  </si>
  <si>
    <t xml:space="preserve">Real Mentor  |  Модул: Управление на имота  |  Практическо упражнение</t>
  </si>
  <si>
    <t xml:space="preserve">А.  ЦЕЛ НА ЗАДАЧАТА</t>
  </si>
  <si>
    <t xml:space="preserve">Получавате реален имот с описание. Вашата задача е да изградите пълен План за управление — от паспорта на имота и данните за наемателя, през регистрите за плащания и разходи, до финансовото резюме и анализ на доходността. Работите в жълтите клетки на всеки лист — попълвате, изчислявате и анализирате.</t>
  </si>
  <si>
    <t xml:space="preserve">Б.  ИМОТЪТ — ВАШИЯТ СЦЕНАРИЙ</t>
  </si>
  <si>
    <t xml:space="preserve">📍 Адрес</t>
  </si>
  <si>
    <t xml:space="preserve">гр. Пловдив, кв. Кършияка, бул. Македония 44, ет. 3, ап. 11</t>
  </si>
  <si>
    <t xml:space="preserve">🏠 Тип имот</t>
  </si>
  <si>
    <t xml:space="preserve">Двустаен апартамент, 58 кв.м жилищна площ</t>
  </si>
  <si>
    <t xml:space="preserve">🏗️ Сграда</t>
  </si>
  <si>
    <t xml:space="preserve">Тухлена, 6 ет., 1978 г., ЕСС</t>
  </si>
  <si>
    <t xml:space="preserve">📅 Дата придобиване</t>
  </si>
  <si>
    <t xml:space="preserve">15.03.2023 г.</t>
  </si>
  <si>
    <t xml:space="preserve">💰 Покупна цена</t>
  </si>
  <si>
    <t xml:space="preserve">88 000 EUR (172 113 лв. по фиксинга)</t>
  </si>
  <si>
    <t xml:space="preserve">🔨 Ремонт</t>
  </si>
  <si>
    <t xml:space="preserve">Цялостен ремонт преди отдаване</t>
  </si>
  <si>
    <t xml:space="preserve">🛋️ Обзавеждане</t>
  </si>
  <si>
    <t xml:space="preserve">Напълно обзаведен (ново обзавеждане)</t>
  </si>
  <si>
    <t xml:space="preserve">📐 Изложение</t>
  </si>
  <si>
    <t xml:space="preserve">Юг-Изток, 3-ти от 6 етажа</t>
  </si>
  <si>
    <t xml:space="preserve">🏘️ Квартал</t>
  </si>
  <si>
    <t xml:space="preserve">Жилищен район, 5 мин. до Тримонциум</t>
  </si>
  <si>
    <t xml:space="preserve">В.  ДАННИ ЗА ПРИДОБИВАНЕТО  (използвайте при попълване на лист 2)</t>
  </si>
  <si>
    <t xml:space="preserve">Позиция</t>
  </si>
  <si>
    <t xml:space="preserve">Покупна цена</t>
  </si>
  <si>
    <t xml:space="preserve">88 000 EUR</t>
  </si>
  <si>
    <t xml:space="preserve">Нотариални такси + данъци</t>
  </si>
  <si>
    <t xml:space="preserve">2 640 EUR  (3% от покупната цена)</t>
  </si>
  <si>
    <t xml:space="preserve">Брокерска комисионна</t>
  </si>
  <si>
    <t xml:space="preserve">1 760 EUR  (2%)</t>
  </si>
  <si>
    <t xml:space="preserve">Ремонт — труд</t>
  </si>
  <si>
    <t xml:space="preserve">4 200 EUR</t>
  </si>
  <si>
    <t xml:space="preserve">Ремонт — материали</t>
  </si>
  <si>
    <t xml:space="preserve">3 100 EUR</t>
  </si>
  <si>
    <t xml:space="preserve">Обзавеждане — общо</t>
  </si>
  <si>
    <t xml:space="preserve">5 800 EUR</t>
  </si>
  <si>
    <t xml:space="preserve">Разни (почистване, ключалки, малки)</t>
  </si>
  <si>
    <t xml:space="preserve">340 EUR</t>
  </si>
  <si>
    <t xml:space="preserve">ОБЩА ИНВЕСТИЦИЯ</t>
  </si>
  <si>
    <t xml:space="preserve">105 840 EUR</t>
  </si>
  <si>
    <t xml:space="preserve">Г.  ПАРТИДИ И АБОНАТНИ НОМЕРА  (използвайте при попълване на лист 2 — лист Паспорт)</t>
  </si>
  <si>
    <t xml:space="preserve">Услуга</t>
  </si>
  <si>
    <t xml:space="preserve">Партида / Абон. №</t>
  </si>
  <si>
    <t xml:space="preserve">Клиентски / Договор</t>
  </si>
  <si>
    <t xml:space="preserve">Офис / Тел / Бел.</t>
  </si>
  <si>
    <t xml:space="preserve">⚡ Електроенергия (ЕВН)</t>
  </si>
  <si>
    <t xml:space="preserve">Партида: 4421-8803-22</t>
  </si>
  <si>
    <t xml:space="preserve">Клиентски №: EV-2023-44891</t>
  </si>
  <si>
    <t xml:space="preserve">Офис: ул. Раковски 14</t>
  </si>
  <si>
    <t xml:space="preserve">💧 Вода (ВиК Пловдив)</t>
  </si>
  <si>
    <t xml:space="preserve">Партида: 0312-7741</t>
  </si>
  <si>
    <t xml:space="preserve">Кл. №: PDV-778234</t>
  </si>
  <si>
    <t xml:space="preserve">Тел: 032 605 555</t>
  </si>
  <si>
    <t xml:space="preserve">🌡️ Топла вода — бойлер</t>
  </si>
  <si>
    <t xml:space="preserve">Самостоятелен бойлер</t>
  </si>
  <si>
    <t xml:space="preserve">Марка: Ariston 80L</t>
  </si>
  <si>
    <t xml:space="preserve">Гаранция до: 03.2026</t>
  </si>
  <si>
    <t xml:space="preserve">🔥 Газ</t>
  </si>
  <si>
    <t xml:space="preserve">Без газово отопление</t>
  </si>
  <si>
    <t xml:space="preserve">—</t>
  </si>
  <si>
    <t xml:space="preserve">🏢 ЕСС</t>
  </si>
  <si>
    <t xml:space="preserve">Такса: 28 EUR/мес.</t>
  </si>
  <si>
    <t xml:space="preserve">Управител: Д. Петков</t>
  </si>
  <si>
    <t xml:space="preserve">Тел: 0888 234 567</t>
  </si>
  <si>
    <t xml:space="preserve">📡 Интернет (А1)</t>
  </si>
  <si>
    <t xml:space="preserve">Абон. №: A1PD-882-3311</t>
  </si>
  <si>
    <t xml:space="preserve">Договор до: 12.2025</t>
  </si>
  <si>
    <t xml:space="preserve">Скорост: 500/500 Mbps</t>
  </si>
  <si>
    <t xml:space="preserve">Д.  ДАННИ ЗА НАЕМАТЕЛЯ  (текущ)</t>
  </si>
  <si>
    <t xml:space="preserve">Поле</t>
  </si>
  <si>
    <t xml:space="preserve">Стойност</t>
  </si>
  <si>
    <t xml:space="preserve">Три имена</t>
  </si>
  <si>
    <t xml:space="preserve">Мария Иванова Тодорова</t>
  </si>
  <si>
    <t xml:space="preserve">ЕГН</t>
  </si>
  <si>
    <t xml:space="preserve">8504120871</t>
  </si>
  <si>
    <t xml:space="preserve">Телефон</t>
  </si>
  <si>
    <t xml:space="preserve">0876 543 210</t>
  </si>
  <si>
    <t xml:space="preserve">Имейл</t>
  </si>
  <si>
    <t xml:space="preserve">m.todorova@gmail.com</t>
  </si>
  <si>
    <t xml:space="preserve">Работодател</t>
  </si>
  <si>
    <t xml:space="preserve">Телус ЕООД — счетоводител</t>
  </si>
  <si>
    <t xml:space="preserve">Постоянен адрес</t>
  </si>
  <si>
    <t xml:space="preserve">гр. Пловдив, ул. Родопи 7</t>
  </si>
  <si>
    <t xml:space="preserve">Начало на договора</t>
  </si>
  <si>
    <t xml:space="preserve">01.05.2023 г.</t>
  </si>
  <si>
    <t xml:space="preserve">Край на договора</t>
  </si>
  <si>
    <t xml:space="preserve">30.04.2025 г.</t>
  </si>
  <si>
    <t xml:space="preserve">Месечен наем</t>
  </si>
  <si>
    <t xml:space="preserve">480 EUR / 938 лв.</t>
  </si>
  <si>
    <t xml:space="preserve">Депозит платен</t>
  </si>
  <si>
    <t xml:space="preserve">960 EUR (2 месеца)</t>
  </si>
  <si>
    <t xml:space="preserve">Депозит — дата</t>
  </si>
  <si>
    <t xml:space="preserve">Нот. заверка</t>
  </si>
  <si>
    <t xml:space="preserve">Да</t>
  </si>
  <si>
    <t xml:space="preserve">Брой живеещи</t>
  </si>
  <si>
    <t xml:space="preserve">2 (Мария + партньор)</t>
  </si>
  <si>
    <t xml:space="preserve">Домашни любимци</t>
  </si>
  <si>
    <t xml:space="preserve">Не</t>
  </si>
  <si>
    <t xml:space="preserve">Контакт спешност</t>
  </si>
  <si>
    <t xml:space="preserve">Иван Тодоров — 0888 111 222</t>
  </si>
  <si>
    <t xml:space="preserve">IBAN</t>
  </si>
  <si>
    <t xml:space="preserve">BG29AAAA81661010203040</t>
  </si>
  <si>
    <t xml:space="preserve">Е.  ИСТОРИЯ НА ПЛАЩАНИЯТА  (май 2023 — декември 2023)</t>
  </si>
  <si>
    <t xml:space="preserve">Период</t>
  </si>
  <si>
    <t xml:space="preserve">Падеж</t>
  </si>
  <si>
    <t xml:space="preserve">Начислено (EUR)</t>
  </si>
  <si>
    <t xml:space="preserve">Платено на</t>
  </si>
  <si>
    <t xml:space="preserve">Начин</t>
  </si>
  <si>
    <t xml:space="preserve">Бележки</t>
  </si>
  <si>
    <t xml:space="preserve">май 2023</t>
  </si>
  <si>
    <t xml:space="preserve">05.05.2023</t>
  </si>
  <si>
    <t xml:space="preserve">480</t>
  </si>
  <si>
    <t xml:space="preserve">07.05.2023</t>
  </si>
  <si>
    <t xml:space="preserve">Банков превод</t>
  </si>
  <si>
    <t xml:space="preserve">Навреме</t>
  </si>
  <si>
    <t xml:space="preserve">юни 2023</t>
  </si>
  <si>
    <t xml:space="preserve">05.06.2023</t>
  </si>
  <si>
    <t xml:space="preserve">юли 2023</t>
  </si>
  <si>
    <t xml:space="preserve">05.07.2023</t>
  </si>
  <si>
    <t xml:space="preserve">09.07.2023</t>
  </si>
  <si>
    <t xml:space="preserve">4 дни закъснение</t>
  </si>
  <si>
    <t xml:space="preserve">август 2023</t>
  </si>
  <si>
    <t xml:space="preserve">05.08.2023</t>
  </si>
  <si>
    <t xml:space="preserve">септември 2023</t>
  </si>
  <si>
    <t xml:space="preserve">05.09.2023</t>
  </si>
  <si>
    <t xml:space="preserve">октомври 2023</t>
  </si>
  <si>
    <t xml:space="preserve">05.10.2023</t>
  </si>
  <si>
    <t xml:space="preserve">12.10.2023</t>
  </si>
  <si>
    <t xml:space="preserve">7 дни закъснение</t>
  </si>
  <si>
    <t xml:space="preserve">ноември 2023</t>
  </si>
  <si>
    <t xml:space="preserve">05.11.2023</t>
  </si>
  <si>
    <t xml:space="preserve">04.11.2023</t>
  </si>
  <si>
    <t xml:space="preserve">1 ден преди срок</t>
  </si>
  <si>
    <t xml:space="preserve">декември 2023</t>
  </si>
  <si>
    <t xml:space="preserve">05.12.2023</t>
  </si>
  <si>
    <t xml:space="preserve">Ж.  РАЗХОДИ ЗА ПЕРИОДА май–декември 2023  (използвайте при попълване на лист Разходи)</t>
  </si>
  <si>
    <t xml:space="preserve">Дата</t>
  </si>
  <si>
    <t xml:space="preserve">Описание</t>
  </si>
  <si>
    <t xml:space="preserve">Сума (EUR)</t>
  </si>
  <si>
    <t xml:space="preserve">Категория</t>
  </si>
  <si>
    <t xml:space="preserve">15.05.2023</t>
  </si>
  <si>
    <t xml:space="preserve">ЕСС такса май</t>
  </si>
  <si>
    <t xml:space="preserve">ЕСС</t>
  </si>
  <si>
    <t xml:space="preserve">15.06.2023</t>
  </si>
  <si>
    <t xml:space="preserve">ЕСС такса юни</t>
  </si>
  <si>
    <t xml:space="preserve">20.06.2023</t>
  </si>
  <si>
    <t xml:space="preserve">Застраховка имот — годишна</t>
  </si>
  <si>
    <t xml:space="preserve">Застраховка</t>
  </si>
  <si>
    <t xml:space="preserve">01.07.2023</t>
  </si>
  <si>
    <t xml:space="preserve">ЕСС такса юли</t>
  </si>
  <si>
    <t xml:space="preserve">Смяна кран в банята (авария)</t>
  </si>
  <si>
    <t xml:space="preserve">Ремонт</t>
  </si>
  <si>
    <t xml:space="preserve">15.07.2023</t>
  </si>
  <si>
    <t xml:space="preserve">Данък недвижим имот 2023</t>
  </si>
  <si>
    <t xml:space="preserve">Данък имот</t>
  </si>
  <si>
    <t xml:space="preserve">01.08.2023</t>
  </si>
  <si>
    <t xml:space="preserve">ЕСС такса август</t>
  </si>
  <si>
    <t xml:space="preserve">01.09.2023</t>
  </si>
  <si>
    <t xml:space="preserve">ЕСС такса септември</t>
  </si>
  <si>
    <t xml:space="preserve">10.09.2023</t>
  </si>
  <si>
    <t xml:space="preserve">Абонамент интернет А1 (3 мес.)</t>
  </si>
  <si>
    <t xml:space="preserve">Интернет/ТВ</t>
  </si>
  <si>
    <t xml:space="preserve">01.10.2023</t>
  </si>
  <si>
    <t xml:space="preserve">ЕСС такса октомври</t>
  </si>
  <si>
    <t xml:space="preserve">15.10.2023</t>
  </si>
  <si>
    <t xml:space="preserve">Подмяна нагревателен елемент бойлер</t>
  </si>
  <si>
    <t xml:space="preserve">01.11.2023</t>
  </si>
  <si>
    <t xml:space="preserve">ЕСС такса ноември</t>
  </si>
  <si>
    <t xml:space="preserve">15.11.2023</t>
  </si>
  <si>
    <t xml:space="preserve">Счетоводство — ДДФЛ декларация</t>
  </si>
  <si>
    <t xml:space="preserve">Административно</t>
  </si>
  <si>
    <t xml:space="preserve">01.12.2023</t>
  </si>
  <si>
    <t xml:space="preserve">ЕСС такса декември</t>
  </si>
  <si>
    <t xml:space="preserve">20.12.2023</t>
  </si>
  <si>
    <t xml:space="preserve">Козметично боядисване стая</t>
  </si>
  <si>
    <t xml:space="preserve">ОБЩО РАЗХОДИ (изчислете сами в листа Разходи)</t>
  </si>
  <si>
    <t xml:space="preserve">З.  ИСТОРИЯ НА РЕМОНТИТЕ  (използвайте при попълване на лист Ремонти)</t>
  </si>
  <si>
    <t xml:space="preserve">Изпълнител</t>
  </si>
  <si>
    <t xml:space="preserve">Мат. EUR</t>
  </si>
  <si>
    <t xml:space="preserve">Труд EUR</t>
  </si>
  <si>
    <t xml:space="preserve">Общо EUR</t>
  </si>
  <si>
    <t xml:space="preserve">Гаранция до</t>
  </si>
  <si>
    <t xml:space="preserve">15.03.2023</t>
  </si>
  <si>
    <t xml:space="preserve">Цялостен ремонт — груби работи (ВиК + ел.)</t>
  </si>
  <si>
    <t xml:space="preserve">Строй ЕООД</t>
  </si>
  <si>
    <t xml:space="preserve">03.2025</t>
  </si>
  <si>
    <t xml:space="preserve">25.03.2023</t>
  </si>
  <si>
    <t xml:space="preserve">Шпакловка и боядисване — всички стаи</t>
  </si>
  <si>
    <t xml:space="preserve">Николай — майстор</t>
  </si>
  <si>
    <t xml:space="preserve">02.04.2023</t>
  </si>
  <si>
    <t xml:space="preserve">Подова настилка LVP — хол + спалня (42 кв.м)</t>
  </si>
  <si>
    <t xml:space="preserve">Паркет ООД</t>
  </si>
  <si>
    <t xml:space="preserve">03.2026</t>
  </si>
  <si>
    <t xml:space="preserve">05.04.2023</t>
  </si>
  <si>
    <t xml:space="preserve">Баня — плочки + санитария</t>
  </si>
  <si>
    <t xml:space="preserve">10.04.2023</t>
  </si>
  <si>
    <t xml:space="preserve">Нова PVC дограма — 3 прозореца</t>
  </si>
  <si>
    <t xml:space="preserve">Профил ЕООД</t>
  </si>
  <si>
    <t xml:space="preserve">03.2033</t>
  </si>
  <si>
    <t xml:space="preserve">12.04.2023</t>
  </si>
  <si>
    <t xml:space="preserve">Нова входна врата — блиндирана</t>
  </si>
  <si>
    <t xml:space="preserve">Врати БГ ООД</t>
  </si>
  <si>
    <t xml:space="preserve">03.2028</t>
  </si>
  <si>
    <t xml:space="preserve">20.04.2023</t>
  </si>
  <si>
    <t xml:space="preserve">LED осветление + контакти</t>
  </si>
  <si>
    <t xml:space="preserve">Електро Петров</t>
  </si>
  <si>
    <t xml:space="preserve">ВиК майстор</t>
  </si>
  <si>
    <t xml:space="preserve">Сервиз Ariston</t>
  </si>
  <si>
    <t xml:space="preserve">10.2025</t>
  </si>
  <si>
    <t xml:space="preserve">Козметично боядисване — спалня</t>
  </si>
  <si>
    <t xml:space="preserve">ОБЩО РЕМОНТИ (въведете в лист Ремонти — колони Материали + Труд)</t>
  </si>
  <si>
    <t xml:space="preserve">И.  ОБЗАВЕЖДАНЕ ПРИ ПРИДОБИВАНЕ  (въведете в лист Обзавеждане)</t>
  </si>
  <si>
    <t xml:space="preserve">Артикул</t>
  </si>
  <si>
    <t xml:space="preserve">Стая</t>
  </si>
  <si>
    <t xml:space="preserve">Кол.</t>
  </si>
  <si>
    <t xml:space="preserve">Ед. цена EUR</t>
  </si>
  <si>
    <t xml:space="preserve">Обща цена EUR</t>
  </si>
  <si>
    <t xml:space="preserve">Диван — ъглов, тъмносив, IKEA</t>
  </si>
  <si>
    <t xml:space="preserve">Хол</t>
  </si>
  <si>
    <t xml:space="preserve">Холна маса + 2 столчета</t>
  </si>
  <si>
    <t xml:space="preserve">Смарт ТВ 55" Samsung</t>
  </si>
  <si>
    <t xml:space="preserve">Климатик Mitsubishi 12000 BTU</t>
  </si>
  <si>
    <t xml:space="preserve">Легло 160×200 + матрак</t>
  </si>
  <si>
    <t xml:space="preserve">Спалня</t>
  </si>
  <si>
    <t xml:space="preserve">Гардероб 3-врати</t>
  </si>
  <si>
    <t xml:space="preserve">Хладилник Gorenje 300L</t>
  </si>
  <si>
    <t xml:space="preserve">Кухня</t>
  </si>
  <si>
    <t xml:space="preserve">Готварска печка с фурна Gorenje</t>
  </si>
  <si>
    <t xml:space="preserve">Аспиратор/Абсорбатор</t>
  </si>
  <si>
    <t xml:space="preserve">Пералня Samsung 7kg</t>
  </si>
  <si>
    <t xml:space="preserve">Баня/кор.</t>
  </si>
  <si>
    <t xml:space="preserve">Интернет рутер (А1)</t>
  </si>
  <si>
    <t xml:space="preserve">Общо</t>
  </si>
  <si>
    <t xml:space="preserve">Прахосмукачка Philips</t>
  </si>
  <si>
    <t xml:space="preserve">Телевизионна масичка</t>
  </si>
  <si>
    <t xml:space="preserve">Нощни шкафчета × 2</t>
  </si>
  <si>
    <t xml:space="preserve">LED осветление (комплект)</t>
  </si>
  <si>
    <t xml:space="preserve">ОБЩА СТОЙНОСТ ОБЗАВЕЖДАНЕ</t>
  </si>
  <si>
    <t xml:space="preserve">К.  КАКВО ТРЯБВА ДА ПРЕДАДЕТЕ  —  Попълнете всеки лист</t>
  </si>
  <si>
    <t xml:space="preserve">Лист</t>
  </si>
  <si>
    <t xml:space="preserve">Тема</t>
  </si>
  <si>
    <t xml:space="preserve">Точки</t>
  </si>
  <si>
    <t xml:space="preserve">ЛИСТ 1</t>
  </si>
  <si>
    <t xml:space="preserve">🏠 Паспорт на имота</t>
  </si>
  <si>
    <t xml:space="preserve">Всички данни: адрес, партиди, технически хар-ки, финансово придобиване</t>
  </si>
  <si>
    <t xml:space="preserve">15 т.</t>
  </si>
  <si>
    <t xml:space="preserve">ЛИСТ 2</t>
  </si>
  <si>
    <t xml:space="preserve">👤 Наемател и договор</t>
  </si>
  <si>
    <t xml:space="preserve">Пълни данни за наемателя, договорни условия, депозит</t>
  </si>
  <si>
    <t xml:space="preserve">ЛИСТ 3</t>
  </si>
  <si>
    <t xml:space="preserve">💶 Плащания</t>
  </si>
  <si>
    <t xml:space="preserve">Всички 8 месеца — начислено, получено, дата, закъснения</t>
  </si>
  <si>
    <t xml:space="preserve">ЛИСТ 4</t>
  </si>
  <si>
    <t xml:space="preserve">📋 Разходи</t>
  </si>
  <si>
    <t xml:space="preserve">Всички 15 разходни записа — категоризирани</t>
  </si>
  <si>
    <t xml:space="preserve">ЛИСТ 5</t>
  </si>
  <si>
    <t xml:space="preserve">🔨 Ремонти</t>
  </si>
  <si>
    <t xml:space="preserve">Всички 10 ремонта с материали + труд + гаранция</t>
  </si>
  <si>
    <t xml:space="preserve">ЛИСТ 6</t>
  </si>
  <si>
    <t xml:space="preserve">Пълен опис на 15 артикула с цени</t>
  </si>
  <si>
    <t xml:space="preserve">10 т.</t>
  </si>
  <si>
    <t xml:space="preserve">ЛИСТ 7</t>
  </si>
  <si>
    <t xml:space="preserve">📊 Финансов анализ</t>
  </si>
  <si>
    <t xml:space="preserve">Попълнете анализа: Gross Yield, Net Yield, Cash Flow, изводи</t>
  </si>
  <si>
    <t xml:space="preserve">🟡 Жълти клетки = попълвате вие  |  🔵 Светлосини = изчислено автоматично  |  Оценка 100 т. общо  |  Срок за предаване: ____________</t>
  </si>
  <si>
    <t xml:space="preserve">🏠  ПАСПОРТ НА ИМОТА  —  Попълнете всички данни</t>
  </si>
  <si>
    <t xml:space="preserve">Вземете информацията от лист ЗАДАЧА раздели А, В, Г</t>
  </si>
  <si>
    <t xml:space="preserve">А.  ОСНОВНИ ДАННИ</t>
  </si>
  <si>
    <t xml:space="preserve">Адрес на имота</t>
  </si>
  <si>
    <t xml:space="preserve">Тип имот</t>
  </si>
  <si>
    <t xml:space="preserve">Жилищна площ (кв.м)</t>
  </si>
  <si>
    <t xml:space="preserve">Застроена площ (кв.м)</t>
  </si>
  <si>
    <t xml:space="preserve">Етаж</t>
  </si>
  <si>
    <t xml:space="preserve">Изложение</t>
  </si>
  <si>
    <t xml:space="preserve">Вид конструкция</t>
  </si>
  <si>
    <t xml:space="preserve">Година на строеж</t>
  </si>
  <si>
    <t xml:space="preserve">Кадастрален идентификатор</t>
  </si>
  <si>
    <t xml:space="preserve">Нотариален акт №</t>
  </si>
  <si>
    <t xml:space="preserve">Б.  ФИНАНСОВИ ДАННИ ПРИ ПРИДОБИВАНЕ</t>
  </si>
  <si>
    <t xml:space="preserve">Покупна цена (EUR)</t>
  </si>
  <si>
    <t xml:space="preserve">Покупна цена (лв.)</t>
  </si>
  <si>
    <t xml:space="preserve">Нотариус + данъци (EUR)</t>
  </si>
  <si>
    <t xml:space="preserve">Брокерска комисионна (EUR)</t>
  </si>
  <si>
    <t xml:space="preserve">Ремонт — общо (EUR)</t>
  </si>
  <si>
    <t xml:space="preserve">Обзавеждане — общо (EUR)</t>
  </si>
  <si>
    <t xml:space="preserve">Разни разходи (EUR)</t>
  </si>
  <si>
    <t xml:space="preserve">ОБЩА ИНВЕСТИЦИЯ (EUR)</t>
  </si>
  <si>
    <t xml:space="preserve">В.  ТЕХНИЧЕСКИ ХАРАКТЕРИСТИКИ</t>
  </si>
  <si>
    <t xml:space="preserve">Отопление</t>
  </si>
  <si>
    <t xml:space="preserve">Топла вода</t>
  </si>
  <si>
    <t xml:space="preserve">Климатизация</t>
  </si>
  <si>
    <t xml:space="preserve">Дограма</t>
  </si>
  <si>
    <t xml:space="preserve">Подови настилки</t>
  </si>
  <si>
    <t xml:space="preserve">Интернет</t>
  </si>
  <si>
    <t xml:space="preserve">Гараж / Паркинг</t>
  </si>
  <si>
    <t xml:space="preserve">Входен код</t>
  </si>
  <si>
    <t xml:space="preserve">Домофон №</t>
  </si>
  <si>
    <t xml:space="preserve">Г.  ПАРТИДИ И АБОНАТНИ НОМЕРА  —  Попълнете от данните в лист ЗАДАЧА раздел Г</t>
  </si>
  <si>
    <t xml:space="preserve">Доставчик / Бележки</t>
  </si>
  <si>
    <t xml:space="preserve">⚡ Електроенергия</t>
  </si>
  <si>
    <t xml:space="preserve">💧 Студена вода</t>
  </si>
  <si>
    <t xml:space="preserve">🌡️ Топла вода / Бойлер</t>
  </si>
  <si>
    <t xml:space="preserve">🔥 Природен газ</t>
  </si>
  <si>
    <t xml:space="preserve">🛗 Асансьор</t>
  </si>
  <si>
    <t xml:space="preserve">📡 Интернет</t>
  </si>
  <si>
    <t xml:space="preserve">📺 Кабелна ТВ</t>
  </si>
  <si>
    <t xml:space="preserve">🏠 Данък имот</t>
  </si>
  <si>
    <t xml:space="preserve">👤  НАЕМАТЕЛ И ДОГОВОР  —  Попълнете данните</t>
  </si>
  <si>
    <t xml:space="preserve">Вземете информацията от лист ЗАДАЧА раздел Д</t>
  </si>
  <si>
    <t xml:space="preserve">ДАННИ ЗА ТЕКУЩИЯ НАЕМАТЕЛ</t>
  </si>
  <si>
    <t xml:space="preserve">ЕГН / Лична карта №</t>
  </si>
  <si>
    <t xml:space="preserve">Контакт при спешност</t>
  </si>
  <si>
    <t xml:space="preserve">Месечен наем (EUR)</t>
  </si>
  <si>
    <t xml:space="preserve">Ден на плащане</t>
  </si>
  <si>
    <t xml:space="preserve">IBAN на наемодателя</t>
  </si>
  <si>
    <t xml:space="preserve">Депозит — сума (EUR)</t>
  </si>
  <si>
    <t xml:space="preserve">Нотариална заверка на договора</t>
  </si>
  <si>
    <t xml:space="preserve">Брой живеещи лица</t>
  </si>
  <si>
    <t xml:space="preserve">💶  ПЛАЩАНИЯ НА НАЕМ  —  Попълнете от лист ЗАДАЧА раздел Е</t>
  </si>
  <si>
    <t xml:space="preserve">Вземете 8-те записа от раздел Е и ги въведете правилно</t>
  </si>
  <si>
    <t xml:space="preserve">Общо начислено</t>
  </si>
  <si>
    <t xml:space="preserve">Общо получено</t>
  </si>
  <si>
    <t xml:space="preserve">Разлика</t>
  </si>
  <si>
    <t xml:space="preserve">Закъснения</t>
  </si>
  <si>
    <t xml:space="preserve">№</t>
  </si>
  <si>
    <t xml:space="preserve">Дата падеж</t>
  </si>
  <si>
    <t xml:space="preserve">Начислено EUR</t>
  </si>
  <si>
    <t xml:space="preserve">Получено?</t>
  </si>
  <si>
    <t xml:space="preserve">Платена сума EUR</t>
  </si>
  <si>
    <t xml:space="preserve">Дата плащане</t>
  </si>
  <si>
    <t xml:space="preserve">Закъснение (дни)</t>
  </si>
  <si>
    <t xml:space="preserve">Бележки / Начин</t>
  </si>
  <si>
    <t xml:space="preserve">📋  РАЗХОДИ  —  Попълнете от лист ЗАДАЧА раздел Ж</t>
  </si>
  <si>
    <t xml:space="preserve">Въведете всички 15 разходни записа с правилна категория</t>
  </si>
  <si>
    <t xml:space="preserve">ОБЩО РАЗХОДИ (EUR)</t>
  </si>
  <si>
    <t xml:space="preserve">По категория (ЕСС)</t>
  </si>
  <si>
    <t xml:space="preserve">По категория (Ремонт)</t>
  </si>
  <si>
    <t xml:space="preserve">Сума EUR</t>
  </si>
  <si>
    <t xml:space="preserve">Сума лв.</t>
  </si>
  <si>
    <t xml:space="preserve">Фактура /Бележки</t>
  </si>
  <si>
    <t xml:space="preserve">🔨  РЕМОНТИ  —  Попълнете от лист ЗАДАЧА раздел З</t>
  </si>
  <si>
    <t xml:space="preserve">Въведете всички 10 ремонта с материали, труд и гаранция</t>
  </si>
  <si>
    <t xml:space="preserve">ОБЩО МАТЕРИАЛИ</t>
  </si>
  <si>
    <t xml:space="preserve">ОБЩО ТРУД</t>
  </si>
  <si>
    <t xml:space="preserve">ОБЩО РЕМОНТИ</t>
  </si>
  <si>
    <t xml:space="preserve">Материали EUR</t>
  </si>
  <si>
    <t xml:space="preserve">🛋️  ОБЗАВЕЖДАНЕ  —  Попълнете от лист ЗАДАЧА раздел И</t>
  </si>
  <si>
    <t xml:space="preserve">Въведете всички 15 артикула с дата, цена и стая</t>
  </si>
  <si>
    <t xml:space="preserve">ОБЩА СТОЙНОСТ ОБЗАВЕЖДАНЕ (EUR)</t>
  </si>
  <si>
    <t xml:space="preserve">Сост.</t>
  </si>
  <si>
    <t xml:space="preserve">📊  ФИНАНСОВ АНАЛИЗ  —  Изчислете и попълнете</t>
  </si>
  <si>
    <t xml:space="preserve">Попълнете жълтите клетки — сините се изчисляват автоматично  |  MAX 15 точки</t>
  </si>
  <si>
    <t xml:space="preserve">А.  ИНВЕСТИЦИЯ  (от лист Паспорт)</t>
  </si>
  <si>
    <t xml:space="preserve">Б.  ПРИХОДИ ЗА ПЕРИОДА (май–декември 2023 = 8 месеца)</t>
  </si>
  <si>
    <t xml:space="preserve">Брутен наем — общо 8 мес. (EUR)</t>
  </si>
  <si>
    <t xml:space="preserve">Брутен наем — средно/мес. (EUR)</t>
  </si>
  <si>
    <t xml:space="preserve">Брутен наем — годишна проекция (EUR)</t>
  </si>
  <si>
    <t xml:space="preserve">В.  РАЗХОДИ ЗА ПЕРИОДА</t>
  </si>
  <si>
    <t xml:space="preserve">Общо разходи от лист Разходи (EUR)</t>
  </si>
  <si>
    <t xml:space="preserve">Общо ремонти от лист Ремонти (EUR)</t>
  </si>
  <si>
    <t xml:space="preserve">Expense Ratio (%)</t>
  </si>
  <si>
    <t xml:space="preserve">Г.  КЛЮЧОВИ ПОКАЗАТЕЛИ  (изчислете сами в жълтите клетки)</t>
  </si>
  <si>
    <t xml:space="preserve">Нетен паричен поток — 8 мес. (EUR)</t>
  </si>
  <si>
    <t xml:space="preserve">Нетен паричен поток — средно/мес. (EUR)</t>
  </si>
  <si>
    <t xml:space="preserve">Gross Yield (%) — върху покупна цена</t>
  </si>
  <si>
    <t xml:space="preserve">Net Yield (%) — върху обща инвестиция</t>
  </si>
  <si>
    <t xml:space="preserve">Cash-on-Cash Return (%)</t>
  </si>
  <si>
    <t xml:space="preserve">Период на откупуване (години)</t>
  </si>
  <si>
    <t xml:space="preserve">Д.  АНАЛИЗ И ПРЕПОРЪКИ  —  Отговорете на въпросите (min. 3 изречения всеки)</t>
  </si>
  <si>
    <t xml:space="preserve">1. Добра инвестиция ли е този имот? Обосновете с числа от горното изчисление.</t>
  </si>
  <si>
    <t xml:space="preserve">2. Как оценявате дисциплината на наемателя? Кои месеци имаше закъснения и какво препоръчвате?</t>
  </si>
  <si>
    <t xml:space="preserve">3. Какви са 3-те основни риска при този имот? Как бихте ги управлявали?</t>
  </si>
  <si>
    <t xml:space="preserve">4. Какво бихте оптимизирали — приходи или разходи? Конкретно предложение.</t>
  </si>
  <si>
    <t xml:space="preserve">5. Препоръчвате ли подновяване на договора при същата цена? Защо?</t>
  </si>
  <si>
    <t xml:space="preserve">🏆  РУБРИКА ЗА ОЦЕНЯВАНЕ  —  Максимум 100 точки</t>
  </si>
  <si>
    <t xml:space="preserve">Real Mentor  |  Задача: План за управление на недвижим имот</t>
  </si>
  <si>
    <t xml:space="preserve">ЛИСТ 1  —  Паспорт на имота (15 т.)</t>
  </si>
  <si>
    <t xml:space="preserve">Критерий</t>
  </si>
  <si>
    <t xml:space="preserve">Макс</t>
  </si>
  <si>
    <t xml:space="preserve">Оценка</t>
  </si>
  <si>
    <t xml:space="preserve">Бележки на ментора</t>
  </si>
  <si>
    <t xml:space="preserve">Коректни основни данни (адрес, площ, изложение, конструкция, кат. идент.)</t>
  </si>
  <si>
    <t xml:space="preserve">/5</t>
  </si>
  <si>
    <t xml:space="preserve">Всички 10 полета попълнени</t>
  </si>
  <si>
    <t xml:space="preserve">Финансови данни при придобиване — обща инвестиция правилна</t>
  </si>
  <si>
    <t xml:space="preserve">Покупна цена + всички разходи</t>
  </si>
  <si>
    <t xml:space="preserve">Партиди — всички 6 услуги попълнени с абон. номера</t>
  </si>
  <si>
    <t xml:space="preserve">ЕЛ, ВиК, ЕСС, Интернет + др.</t>
  </si>
  <si>
    <t xml:space="preserve">ЛИСТ 2  —  Наемател и договор (15 т.)</t>
  </si>
  <si>
    <t xml:space="preserve">Пълни лични данни на наемателя</t>
  </si>
  <si>
    <t xml:space="preserve">ЕГН, телефон, работодател, адрес</t>
  </si>
  <si>
    <t xml:space="preserve">Договорни условия — наем, депозит, дати</t>
  </si>
  <si>
    <t xml:space="preserve">Правилни стойности и дати</t>
  </si>
  <si>
    <t xml:space="preserve">Бонус детайли — нот. заверка, живеещи, IBAN</t>
  </si>
  <si>
    <t xml:space="preserve">ЛИСТ 3  —  Плащания (15 т.)</t>
  </si>
  <si>
    <t xml:space="preserve">Всички 8 плащания въведени с дати</t>
  </si>
  <si>
    <t xml:space="preserve">Правилни суми и дати</t>
  </si>
  <si>
    <t xml:space="preserve">Закъсненията изчислени правилно (2 броя)</t>
  </si>
  <si>
    <t xml:space="preserve">юли +4, октомври +7 дни</t>
  </si>
  <si>
    <t xml:space="preserve">Суми в обобщението коректни (начислено = 3 840 EUR)</t>
  </si>
  <si>
    <t xml:space="preserve">Автоматичен сумар проверен</t>
  </si>
  <si>
    <t xml:space="preserve">ЛИСТ 4  —  Разходи (15 т.)</t>
  </si>
  <si>
    <t xml:space="preserve">Всички 15 записа въведени с правилни дати</t>
  </si>
  <si>
    <t xml:space="preserve">Нито един пропуснат</t>
  </si>
  <si>
    <t xml:space="preserve">Правилна категоризация на всички разходи</t>
  </si>
  <si>
    <t xml:space="preserve">ЕСС, Застр., Ремонт и др.</t>
  </si>
  <si>
    <t xml:space="preserve">Автоматична конверсия EUR/лв. проверена</t>
  </si>
  <si>
    <t xml:space="preserve">ЛИСТ 5  —  Ремонти (15 т.)</t>
  </si>
  <si>
    <t xml:space="preserve">Всички 10 ремонта въведени</t>
  </si>
  <si>
    <t xml:space="preserve">Вкл. 2-та аварийни</t>
  </si>
  <si>
    <t xml:space="preserve">Материали и труд разграничени правилно</t>
  </si>
  <si>
    <t xml:space="preserve">Верни суми по колони</t>
  </si>
  <si>
    <t xml:space="preserve">Обща инвестиция в ремонти: ~7 300 EUR</t>
  </si>
  <si>
    <t xml:space="preserve">Автоматичен сумар</t>
  </si>
  <si>
    <t xml:space="preserve">ЛИСТ 6  —  Обзавеждане (10 т.)</t>
  </si>
  <si>
    <t xml:space="preserve">Всички 15 артикула въведени</t>
  </si>
  <si>
    <t xml:space="preserve">Стаи правилно посочени</t>
  </si>
  <si>
    <t xml:space="preserve">Обща стойност: ~5 800 EUR</t>
  </si>
  <si>
    <t xml:space="preserve">ЛИСТ 7  —  Финансов анализ (15 т.)</t>
  </si>
  <si>
    <t xml:space="preserve">Ключови показатели изчислени: Gross/Net Yield, Cash Flow</t>
  </si>
  <si>
    <t xml:space="preserve">Правилна логика и числа</t>
  </si>
  <si>
    <t xml:space="preserve">Expense Ratio и период на откупуване</t>
  </si>
  <si>
    <t xml:space="preserve">Писмен анализ — 5 въпроса с аргументи</t>
  </si>
  <si>
    <t xml:space="preserve">Мин. 3 изречения на въпрос</t>
  </si>
  <si>
    <t xml:space="preserve">🏆  ОБЩА ОЦЕНКА (автоматично)</t>
  </si>
  <si>
    <t xml:space="preserve">/ 100 точки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</si>
</sst>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&quot; EUR&quot;"/>
    <numFmt numFmtId="166" formatCode="#,##0.00&quot; лв.&quot;"/>
    <numFmt numFmtId="167" formatCode="dd\.mm\.yyyy"/>
    <numFmt numFmtId="168" formatCode="General"/>
    <numFmt numFmtId="169" formatCode="0"/>
    <numFmt numFmtId="170" formatCode="0.0%"/>
    <numFmt numFmtId="171" formatCode="0.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sz val="10"/>
      <color rgb="FF7C3AED"/>
      <name val="Arial"/>
      <family val="0"/>
      <charset val="1"/>
    </font>
    <font>
      <b val="true"/>
      <sz val="12"/>
      <color rgb="FFD97706"/>
      <name val="Arial"/>
      <family val="0"/>
      <charset val="1"/>
    </font>
    <font>
      <sz val="10"/>
      <color rgb="FF0E7490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2"/>
      <color rgb="FF0E749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3"/>
      <color rgb="FFC9A84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sz val="9"/>
      <color rgb="FF64748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1E293B"/>
        <bgColor rgb="FF0D1B2A"/>
      </patternFill>
    </fill>
    <fill>
      <patternFill patternType="solid">
        <fgColor rgb="FFDCFCE7"/>
        <bgColor rgb="FFCFFAFE"/>
      </patternFill>
    </fill>
    <fill>
      <patternFill patternType="solid">
        <fgColor rgb="FF0E7490"/>
        <bgColor rgb="FF0066CC"/>
      </patternFill>
    </fill>
    <fill>
      <patternFill patternType="solid">
        <fgColor rgb="FFCFFAFE"/>
        <bgColor rgb="FFDCFCE7"/>
      </patternFill>
    </fill>
    <fill>
      <patternFill patternType="solid">
        <fgColor rgb="FFEA580C"/>
        <bgColor rgb="FFD97706"/>
      </patternFill>
    </fill>
    <fill>
      <patternFill patternType="solid">
        <fgColor rgb="FFFFEDD5"/>
        <bgColor rgb="FFFEF3C7"/>
      </patternFill>
    </fill>
    <fill>
      <patternFill patternType="solid">
        <fgColor rgb="FFF8FAFC"/>
        <bgColor rgb="FFF8FBFF"/>
      </patternFill>
    </fill>
    <fill>
      <patternFill patternType="solid">
        <fgColor rgb="FFFEF3C7"/>
        <bgColor rgb="FFFFF9C4"/>
      </patternFill>
    </fill>
    <fill>
      <patternFill patternType="solid">
        <fgColor rgb="FFF0FDFA"/>
        <bgColor rgb="FFF0FDF4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EDE9FE"/>
      </patternFill>
    </fill>
    <fill>
      <patternFill patternType="solid">
        <fgColor rgb="FFF8FBFF"/>
        <bgColor rgb="FFF8FAFC"/>
      </patternFill>
    </fill>
    <fill>
      <patternFill patternType="solid">
        <fgColor rgb="FF16A34A"/>
        <bgColor rgb="FF0D9488"/>
      </patternFill>
    </fill>
    <fill>
      <patternFill patternType="solid">
        <fgColor rgb="FFF0FDF4"/>
        <bgColor rgb="FFF0FDFA"/>
      </patternFill>
    </fill>
    <fill>
      <patternFill patternType="solid">
        <fgColor rgb="FFFFE4E6"/>
        <bgColor rgb="FFFFEDD5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DBEAFE"/>
      </patternFill>
    </fill>
    <fill>
      <patternFill patternType="solid">
        <fgColor rgb="FFF9F7FF"/>
        <bgColor rgb="FFF8FAFC"/>
      </patternFill>
    </fill>
    <fill>
      <patternFill patternType="solid">
        <fgColor rgb="FFD97706"/>
        <bgColor rgb="FFEA580C"/>
      </patternFill>
    </fill>
    <fill>
      <patternFill patternType="solid">
        <fgColor rgb="FFFFFDF5"/>
        <bgColor rgb="FFFFFFFF"/>
      </patternFill>
    </fill>
    <fill>
      <patternFill patternType="solid">
        <fgColor rgb="FFDC2626"/>
        <bgColor rgb="FFEA580C"/>
      </patternFill>
    </fill>
    <fill>
      <patternFill patternType="solid">
        <fgColor rgb="FFFFF9C4"/>
        <bgColor rgb="FFFEF3C7"/>
      </patternFill>
    </fill>
    <fill>
      <patternFill patternType="solid">
        <fgColor rgb="FFEFF6FF"/>
        <bgColor rgb="FFF9F7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9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2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2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9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5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DF5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DBEAFE"/>
      <rgbColor rgb="FF808080"/>
      <rgbColor rgb="FFF9F7FF"/>
      <rgbColor rgb="FF7C3AED"/>
      <rgbColor rgb="FFFFF9C4"/>
      <rgbColor rgb="FFCFFAFE"/>
      <rgbColor rgb="FF660066"/>
      <rgbColor rgb="FFF8FBFF"/>
      <rgbColor rgb="FF0066CC"/>
      <rgbColor rgb="FFCBD5E1"/>
      <rgbColor rgb="FF000080"/>
      <rgbColor rgb="FFFF00FF"/>
      <rgbColor rgb="FFF0FDFA"/>
      <rgbColor rgb="FF00FFFF"/>
      <rgbColor rgb="FF800080"/>
      <rgbColor rgb="FF800000"/>
      <rgbColor rgb="FF0D9488"/>
      <rgbColor rgb="FF0000FF"/>
      <rgbColor rgb="FF00CCFF"/>
      <rgbColor rgb="FFDCFCE7"/>
      <rgbColor rgb="FFF0FDF4"/>
      <rgbColor rgb="FFFEF3C7"/>
      <rgbColor rgb="FFEDE9FE"/>
      <rgbColor rgb="FFFFEDD5"/>
      <rgbColor rgb="FFEFF6FF"/>
      <rgbColor rgb="FFFFE4E6"/>
      <rgbColor rgb="FF2563EB"/>
      <rgbColor rgb="FF33CCCC"/>
      <rgbColor rgb="FF99CC00"/>
      <rgbColor rgb="FFF8FAFC"/>
      <rgbColor rgb="FFD97706"/>
      <rgbColor rgb="FFEA580C"/>
      <rgbColor rgb="FF64748B"/>
      <rgbColor rgb="FFC9A84C"/>
      <rgbColor rgb="FF003366"/>
      <rgbColor rgb="FF16A34A"/>
      <rgbColor rgb="FF0D1B2A"/>
      <rgbColor rgb="FF475569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K1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1" min="3" style="0" width="9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.7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51.75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</row>
    <row r="6" customFormat="false" ht="7.5" hidden="false" customHeight="true" outlineLevel="0" collapsed="false"/>
    <row r="7" customFormat="false" ht="21.7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9.5" hidden="false" customHeight="true" outlineLevel="0" collapsed="false">
      <c r="B8" s="6" t="s">
        <v>5</v>
      </c>
      <c r="C8" s="6"/>
      <c r="D8" s="6"/>
      <c r="E8" s="7" t="s">
        <v>6</v>
      </c>
      <c r="F8" s="7"/>
      <c r="G8" s="7"/>
      <c r="H8" s="7"/>
      <c r="I8" s="7"/>
      <c r="J8" s="7"/>
      <c r="K8" s="7"/>
    </row>
    <row r="9" customFormat="false" ht="15" hidden="false" customHeight="true" outlineLevel="0" collapsed="false"/>
    <row r="10" customFormat="false" ht="19.5" hidden="false" customHeight="true" outlineLevel="0" collapsed="false">
      <c r="B10" s="6" t="s">
        <v>7</v>
      </c>
      <c r="C10" s="6"/>
      <c r="D10" s="6"/>
      <c r="E10" s="7" t="s">
        <v>8</v>
      </c>
      <c r="F10" s="7"/>
      <c r="G10" s="7"/>
      <c r="H10" s="7"/>
      <c r="I10" s="7"/>
      <c r="J10" s="7"/>
      <c r="K10" s="7"/>
    </row>
    <row r="11" customFormat="false" ht="15" hidden="false" customHeight="true" outlineLevel="0" collapsed="false"/>
    <row r="12" customFormat="false" ht="19.5" hidden="false" customHeight="true" outlineLevel="0" collapsed="false">
      <c r="B12" s="6" t="s">
        <v>9</v>
      </c>
      <c r="C12" s="6"/>
      <c r="D12" s="6"/>
      <c r="E12" s="7" t="s">
        <v>10</v>
      </c>
      <c r="F12" s="7"/>
      <c r="G12" s="7"/>
      <c r="H12" s="7"/>
      <c r="I12" s="7"/>
      <c r="J12" s="7"/>
      <c r="K12" s="7"/>
    </row>
    <row r="13" customFormat="false" ht="15" hidden="false" customHeight="true" outlineLevel="0" collapsed="false"/>
    <row r="14" customFormat="false" ht="19.5" hidden="false" customHeight="true" outlineLevel="0" collapsed="false">
      <c r="B14" s="6" t="s">
        <v>11</v>
      </c>
      <c r="C14" s="6"/>
      <c r="D14" s="6"/>
      <c r="E14" s="7" t="s">
        <v>12</v>
      </c>
      <c r="F14" s="7"/>
      <c r="G14" s="7"/>
      <c r="H14" s="7"/>
      <c r="I14" s="7"/>
      <c r="J14" s="7"/>
      <c r="K14" s="7"/>
    </row>
    <row r="15" customFormat="false" ht="15" hidden="false" customHeight="true" outlineLevel="0" collapsed="false"/>
    <row r="16" customFormat="false" ht="19.5" hidden="false" customHeight="true" outlineLevel="0" collapsed="false">
      <c r="B16" s="6" t="s">
        <v>13</v>
      </c>
      <c r="C16" s="6"/>
      <c r="D16" s="6"/>
      <c r="E16" s="7" t="s">
        <v>14</v>
      </c>
      <c r="F16" s="7"/>
      <c r="G16" s="7"/>
      <c r="H16" s="7"/>
      <c r="I16" s="7"/>
      <c r="J16" s="7"/>
      <c r="K16" s="7"/>
    </row>
    <row r="17" customFormat="false" ht="15" hidden="false" customHeight="true" outlineLevel="0" collapsed="false"/>
    <row r="18" customFormat="false" ht="19.5" hidden="false" customHeight="true" outlineLevel="0" collapsed="false">
      <c r="B18" s="6" t="s">
        <v>15</v>
      </c>
      <c r="C18" s="6"/>
      <c r="D18" s="6"/>
      <c r="E18" s="7" t="s">
        <v>16</v>
      </c>
      <c r="F18" s="7"/>
      <c r="G18" s="7"/>
      <c r="H18" s="7"/>
      <c r="I18" s="7"/>
      <c r="J18" s="7"/>
      <c r="K18" s="7"/>
    </row>
    <row r="19" customFormat="false" ht="15" hidden="false" customHeight="true" outlineLevel="0" collapsed="false"/>
    <row r="20" customFormat="false" ht="19.5" hidden="false" customHeight="true" outlineLevel="0" collapsed="false">
      <c r="B20" s="6" t="s">
        <v>17</v>
      </c>
      <c r="C20" s="6"/>
      <c r="D20" s="6"/>
      <c r="E20" s="7" t="s">
        <v>18</v>
      </c>
      <c r="F20" s="7"/>
      <c r="G20" s="7"/>
      <c r="H20" s="7"/>
      <c r="I20" s="7"/>
      <c r="J20" s="7"/>
      <c r="K20" s="7"/>
    </row>
    <row r="21" customFormat="false" ht="15" hidden="false" customHeight="true" outlineLevel="0" collapsed="false"/>
    <row r="22" customFormat="false" ht="19.5" hidden="false" customHeight="true" outlineLevel="0" collapsed="false">
      <c r="B22" s="6" t="s">
        <v>19</v>
      </c>
      <c r="C22" s="6"/>
      <c r="D22" s="6"/>
      <c r="E22" s="7" t="s">
        <v>20</v>
      </c>
      <c r="F22" s="7"/>
      <c r="G22" s="7"/>
      <c r="H22" s="7"/>
      <c r="I22" s="7"/>
      <c r="J22" s="7"/>
      <c r="K22" s="7"/>
    </row>
    <row r="23" customFormat="false" ht="15" hidden="false" customHeight="true" outlineLevel="0" collapsed="false"/>
    <row r="24" customFormat="false" ht="19.5" hidden="false" customHeight="true" outlineLevel="0" collapsed="false">
      <c r="B24" s="6" t="s">
        <v>21</v>
      </c>
      <c r="C24" s="6"/>
      <c r="D24" s="6"/>
      <c r="E24" s="7" t="s">
        <v>22</v>
      </c>
      <c r="F24" s="7"/>
      <c r="G24" s="7"/>
      <c r="H24" s="7"/>
      <c r="I24" s="7"/>
      <c r="J24" s="7"/>
      <c r="K24" s="7"/>
    </row>
    <row r="25" customFormat="false" ht="15" hidden="false" customHeight="true" outlineLevel="0" collapsed="false"/>
    <row r="26" customFormat="false" ht="7.5" hidden="false" customHeight="true" outlineLevel="0" collapsed="false"/>
    <row r="27" customFormat="false" ht="21.75" hidden="false" customHeight="true" outlineLevel="0" collapsed="false">
      <c r="A27" s="8" t="s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customFormat="false" ht="19.5" hidden="false" customHeight="true" outlineLevel="0" collapsed="false">
      <c r="B28" s="9" t="s">
        <v>24</v>
      </c>
      <c r="C28" s="9"/>
      <c r="D28" s="9"/>
      <c r="E28" s="10"/>
      <c r="F28" s="10"/>
      <c r="G28" s="10"/>
      <c r="H28" s="10"/>
      <c r="I28" s="10"/>
      <c r="J28" s="10"/>
      <c r="K28" s="10"/>
    </row>
    <row r="29" customFormat="false" ht="19.5" hidden="false" customHeight="true" outlineLevel="0" collapsed="false">
      <c r="B29" s="11" t="s">
        <v>25</v>
      </c>
      <c r="C29" s="11"/>
      <c r="D29" s="11"/>
      <c r="E29" s="12" t="s">
        <v>26</v>
      </c>
      <c r="F29" s="12"/>
      <c r="G29" s="12"/>
      <c r="H29" s="12"/>
      <c r="I29" s="12"/>
      <c r="J29" s="12"/>
      <c r="K29" s="12"/>
    </row>
    <row r="30" customFormat="false" ht="19.5" hidden="false" customHeight="true" outlineLevel="0" collapsed="false">
      <c r="B30" s="13" t="s">
        <v>27</v>
      </c>
      <c r="C30" s="13"/>
      <c r="D30" s="13"/>
      <c r="E30" s="14" t="s">
        <v>28</v>
      </c>
      <c r="F30" s="14"/>
      <c r="G30" s="14"/>
      <c r="H30" s="14"/>
      <c r="I30" s="14"/>
      <c r="J30" s="14"/>
      <c r="K30" s="14"/>
    </row>
    <row r="31" customFormat="false" ht="19.5" hidden="false" customHeight="true" outlineLevel="0" collapsed="false">
      <c r="B31" s="11" t="s">
        <v>29</v>
      </c>
      <c r="C31" s="11"/>
      <c r="D31" s="11"/>
      <c r="E31" s="12" t="s">
        <v>30</v>
      </c>
      <c r="F31" s="12"/>
      <c r="G31" s="12"/>
      <c r="H31" s="12"/>
      <c r="I31" s="12"/>
      <c r="J31" s="12"/>
      <c r="K31" s="12"/>
    </row>
    <row r="32" customFormat="false" ht="19.5" hidden="false" customHeight="true" outlineLevel="0" collapsed="false">
      <c r="B32" s="13" t="s">
        <v>31</v>
      </c>
      <c r="C32" s="13"/>
      <c r="D32" s="13"/>
      <c r="E32" s="14" t="s">
        <v>32</v>
      </c>
      <c r="F32" s="14"/>
      <c r="G32" s="14"/>
      <c r="H32" s="14"/>
      <c r="I32" s="14"/>
      <c r="J32" s="14"/>
      <c r="K32" s="14"/>
    </row>
    <row r="33" customFormat="false" ht="19.5" hidden="false" customHeight="true" outlineLevel="0" collapsed="false">
      <c r="B33" s="11" t="s">
        <v>33</v>
      </c>
      <c r="C33" s="11"/>
      <c r="D33" s="11"/>
      <c r="E33" s="12" t="s">
        <v>34</v>
      </c>
      <c r="F33" s="12"/>
      <c r="G33" s="12"/>
      <c r="H33" s="12"/>
      <c r="I33" s="12"/>
      <c r="J33" s="12"/>
      <c r="K33" s="12"/>
    </row>
    <row r="34" customFormat="false" ht="19.5" hidden="false" customHeight="true" outlineLevel="0" collapsed="false">
      <c r="B34" s="13" t="s">
        <v>35</v>
      </c>
      <c r="C34" s="13"/>
      <c r="D34" s="13"/>
      <c r="E34" s="14" t="s">
        <v>36</v>
      </c>
      <c r="F34" s="14"/>
      <c r="G34" s="14"/>
      <c r="H34" s="14"/>
      <c r="I34" s="14"/>
      <c r="J34" s="14"/>
      <c r="K34" s="14"/>
    </row>
    <row r="35" customFormat="false" ht="19.5" hidden="false" customHeight="true" outlineLevel="0" collapsed="false">
      <c r="B35" s="11" t="s">
        <v>37</v>
      </c>
      <c r="C35" s="11"/>
      <c r="D35" s="11"/>
      <c r="E35" s="12" t="s">
        <v>38</v>
      </c>
      <c r="F35" s="12"/>
      <c r="G35" s="12"/>
      <c r="H35" s="12"/>
      <c r="I35" s="12"/>
      <c r="J35" s="12"/>
      <c r="K35" s="12"/>
    </row>
    <row r="36" customFormat="false" ht="19.5" hidden="false" customHeight="true" outlineLevel="0" collapsed="false">
      <c r="B36" s="15" t="s">
        <v>39</v>
      </c>
      <c r="C36" s="15"/>
      <c r="D36" s="15"/>
      <c r="E36" s="16" t="s">
        <v>40</v>
      </c>
      <c r="F36" s="16"/>
      <c r="G36" s="16"/>
      <c r="H36" s="16"/>
      <c r="I36" s="16"/>
      <c r="J36" s="16"/>
      <c r="K36" s="16"/>
    </row>
    <row r="37" customFormat="false" ht="7.5" hidden="false" customHeight="true" outlineLevel="0" collapsed="false"/>
    <row r="38" customFormat="false" ht="21.75" hidden="false" customHeight="true" outlineLevel="0" collapsed="false">
      <c r="A38" s="5" t="s">
        <v>41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customFormat="false" ht="19.5" hidden="false" customHeight="true" outlineLevel="0" collapsed="false">
      <c r="B39" s="17" t="s">
        <v>42</v>
      </c>
      <c r="C39" s="17"/>
      <c r="D39" s="17" t="s">
        <v>43</v>
      </c>
      <c r="E39" s="17"/>
      <c r="F39" s="17" t="s">
        <v>44</v>
      </c>
      <c r="G39" s="17"/>
      <c r="H39" s="17" t="s">
        <v>45</v>
      </c>
      <c r="I39" s="17"/>
    </row>
    <row r="40" customFormat="false" ht="19.5" hidden="false" customHeight="true" outlineLevel="0" collapsed="false">
      <c r="B40" s="18" t="s">
        <v>46</v>
      </c>
      <c r="C40" s="18"/>
      <c r="D40" s="7" t="s">
        <v>47</v>
      </c>
      <c r="E40" s="7"/>
      <c r="F40" s="7" t="s">
        <v>48</v>
      </c>
      <c r="G40" s="7"/>
      <c r="H40" s="7" t="s">
        <v>49</v>
      </c>
      <c r="I40" s="7"/>
    </row>
    <row r="41" customFormat="false" ht="19.5" hidden="false" customHeight="true" outlineLevel="0" collapsed="false">
      <c r="B41" s="19" t="s">
        <v>50</v>
      </c>
      <c r="C41" s="19"/>
      <c r="D41" s="20" t="s">
        <v>51</v>
      </c>
      <c r="E41" s="20"/>
      <c r="F41" s="20" t="s">
        <v>52</v>
      </c>
      <c r="G41" s="20"/>
      <c r="H41" s="20" t="s">
        <v>53</v>
      </c>
      <c r="I41" s="20"/>
    </row>
    <row r="42" customFormat="false" ht="19.5" hidden="false" customHeight="true" outlineLevel="0" collapsed="false">
      <c r="B42" s="18" t="s">
        <v>54</v>
      </c>
      <c r="C42" s="18"/>
      <c r="D42" s="7" t="s">
        <v>55</v>
      </c>
      <c r="E42" s="7"/>
      <c r="F42" s="7" t="s">
        <v>56</v>
      </c>
      <c r="G42" s="7"/>
      <c r="H42" s="7" t="s">
        <v>57</v>
      </c>
      <c r="I42" s="7"/>
    </row>
    <row r="43" customFormat="false" ht="19.5" hidden="false" customHeight="true" outlineLevel="0" collapsed="false">
      <c r="B43" s="19" t="s">
        <v>58</v>
      </c>
      <c r="C43" s="19"/>
      <c r="D43" s="20" t="s">
        <v>59</v>
      </c>
      <c r="E43" s="20"/>
      <c r="F43" s="20" t="s">
        <v>60</v>
      </c>
      <c r="G43" s="20"/>
      <c r="H43" s="20" t="s">
        <v>60</v>
      </c>
      <c r="I43" s="20"/>
    </row>
    <row r="44" customFormat="false" ht="19.5" hidden="false" customHeight="true" outlineLevel="0" collapsed="false">
      <c r="B44" s="18" t="s">
        <v>61</v>
      </c>
      <c r="C44" s="18"/>
      <c r="D44" s="7" t="s">
        <v>62</v>
      </c>
      <c r="E44" s="7"/>
      <c r="F44" s="7" t="s">
        <v>63</v>
      </c>
      <c r="G44" s="7"/>
      <c r="H44" s="7" t="s">
        <v>64</v>
      </c>
      <c r="I44" s="7"/>
    </row>
    <row r="45" customFormat="false" ht="19.5" hidden="false" customHeight="true" outlineLevel="0" collapsed="false">
      <c r="B45" s="19" t="s">
        <v>65</v>
      </c>
      <c r="C45" s="19"/>
      <c r="D45" s="20" t="s">
        <v>66</v>
      </c>
      <c r="E45" s="20"/>
      <c r="F45" s="20" t="s">
        <v>67</v>
      </c>
      <c r="G45" s="20"/>
      <c r="H45" s="20" t="s">
        <v>68</v>
      </c>
      <c r="I45" s="20"/>
    </row>
    <row r="46" customFormat="false" ht="7.5" hidden="false" customHeight="true" outlineLevel="0" collapsed="false"/>
    <row r="47" customFormat="false" ht="21.75" hidden="false" customHeight="true" outlineLevel="0" collapsed="false">
      <c r="A47" s="21" t="s">
        <v>69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customFormat="false" ht="19.5" hidden="false" customHeight="true" outlineLevel="0" collapsed="false">
      <c r="C48" s="22" t="s">
        <v>70</v>
      </c>
      <c r="D48" s="22" t="s">
        <v>71</v>
      </c>
      <c r="E48" s="22" t="s">
        <v>70</v>
      </c>
      <c r="F48" s="22" t="s">
        <v>71</v>
      </c>
    </row>
    <row r="49" customFormat="false" ht="21.75" hidden="false" customHeight="true" outlineLevel="0" collapsed="false">
      <c r="B49" s="23" t="s">
        <v>72</v>
      </c>
      <c r="C49" s="24" t="s">
        <v>73</v>
      </c>
      <c r="D49" s="24"/>
      <c r="E49" s="24"/>
      <c r="F49" s="23" t="s">
        <v>74</v>
      </c>
      <c r="G49" s="24" t="s">
        <v>75</v>
      </c>
      <c r="H49" s="24"/>
      <c r="I49" s="24"/>
      <c r="J49" s="24"/>
      <c r="K49" s="24"/>
    </row>
    <row r="50" customFormat="false" ht="21.75" hidden="false" customHeight="true" outlineLevel="0" collapsed="false">
      <c r="B50" s="25" t="s">
        <v>76</v>
      </c>
      <c r="C50" s="26" t="s">
        <v>77</v>
      </c>
      <c r="D50" s="26"/>
      <c r="E50" s="26"/>
      <c r="F50" s="25" t="s">
        <v>78</v>
      </c>
      <c r="G50" s="26" t="s">
        <v>79</v>
      </c>
      <c r="H50" s="26"/>
      <c r="I50" s="26"/>
      <c r="J50" s="26"/>
      <c r="K50" s="26"/>
    </row>
    <row r="51" customFormat="false" ht="21.75" hidden="false" customHeight="true" outlineLevel="0" collapsed="false">
      <c r="B51" s="23" t="s">
        <v>80</v>
      </c>
      <c r="C51" s="24" t="s">
        <v>81</v>
      </c>
      <c r="D51" s="24"/>
      <c r="E51" s="24"/>
      <c r="F51" s="23" t="s">
        <v>82</v>
      </c>
      <c r="G51" s="24" t="s">
        <v>83</v>
      </c>
      <c r="H51" s="24"/>
      <c r="I51" s="24"/>
      <c r="J51" s="24"/>
      <c r="K51" s="24"/>
    </row>
    <row r="52" customFormat="false" ht="21.75" hidden="false" customHeight="true" outlineLevel="0" collapsed="false">
      <c r="B52" s="25" t="s">
        <v>84</v>
      </c>
      <c r="C52" s="26" t="s">
        <v>85</v>
      </c>
      <c r="D52" s="26"/>
      <c r="E52" s="26"/>
      <c r="F52" s="25" t="s">
        <v>86</v>
      </c>
      <c r="G52" s="26" t="s">
        <v>87</v>
      </c>
      <c r="H52" s="26"/>
      <c r="I52" s="26"/>
      <c r="J52" s="26"/>
      <c r="K52" s="26"/>
    </row>
    <row r="53" customFormat="false" ht="21.75" hidden="false" customHeight="true" outlineLevel="0" collapsed="false">
      <c r="B53" s="23" t="s">
        <v>88</v>
      </c>
      <c r="C53" s="24" t="s">
        <v>89</v>
      </c>
      <c r="D53" s="24"/>
      <c r="E53" s="24"/>
      <c r="F53" s="23" t="s">
        <v>90</v>
      </c>
      <c r="G53" s="24" t="s">
        <v>91</v>
      </c>
      <c r="H53" s="24"/>
      <c r="I53" s="24"/>
      <c r="J53" s="24"/>
      <c r="K53" s="24"/>
    </row>
    <row r="54" customFormat="false" ht="21.75" hidden="false" customHeight="true" outlineLevel="0" collapsed="false">
      <c r="B54" s="25" t="s">
        <v>92</v>
      </c>
      <c r="C54" s="26" t="s">
        <v>85</v>
      </c>
      <c r="D54" s="26"/>
      <c r="E54" s="26"/>
      <c r="F54" s="25" t="s">
        <v>93</v>
      </c>
      <c r="G54" s="26" t="s">
        <v>94</v>
      </c>
      <c r="H54" s="26"/>
      <c r="I54" s="26"/>
      <c r="J54" s="26"/>
      <c r="K54" s="26"/>
    </row>
    <row r="55" customFormat="false" ht="21.75" hidden="false" customHeight="true" outlineLevel="0" collapsed="false">
      <c r="B55" s="23" t="s">
        <v>95</v>
      </c>
      <c r="C55" s="24" t="s">
        <v>96</v>
      </c>
      <c r="D55" s="24"/>
      <c r="E55" s="24"/>
      <c r="F55" s="23" t="s">
        <v>97</v>
      </c>
      <c r="G55" s="24" t="s">
        <v>98</v>
      </c>
      <c r="H55" s="24"/>
      <c r="I55" s="24"/>
      <c r="J55" s="24"/>
      <c r="K55" s="24"/>
    </row>
    <row r="56" customFormat="false" ht="21.75" hidden="false" customHeight="true" outlineLevel="0" collapsed="false">
      <c r="B56" s="25" t="s">
        <v>99</v>
      </c>
      <c r="C56" s="26" t="s">
        <v>100</v>
      </c>
      <c r="D56" s="26"/>
      <c r="E56" s="26"/>
      <c r="F56" s="25" t="s">
        <v>101</v>
      </c>
      <c r="G56" s="26" t="s">
        <v>102</v>
      </c>
      <c r="H56" s="26"/>
      <c r="I56" s="26"/>
      <c r="J56" s="26"/>
      <c r="K56" s="26"/>
    </row>
    <row r="57" customFormat="false" ht="7.5" hidden="false" customHeight="true" outlineLevel="0" collapsed="false"/>
    <row r="58" customFormat="false" ht="21.75" hidden="false" customHeight="true" outlineLevel="0" collapsed="false">
      <c r="A58" s="27" t="s">
        <v>103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 customFormat="false" ht="19.5" hidden="false" customHeight="true" outlineLevel="0" collapsed="false">
      <c r="B59" s="28" t="s">
        <v>104</v>
      </c>
      <c r="C59" s="28" t="s">
        <v>105</v>
      </c>
      <c r="D59" s="28"/>
      <c r="E59" s="28" t="s">
        <v>106</v>
      </c>
      <c r="F59" s="28"/>
      <c r="G59" s="28" t="s">
        <v>107</v>
      </c>
      <c r="H59" s="28"/>
      <c r="I59" s="28" t="s">
        <v>108</v>
      </c>
      <c r="J59" s="28" t="s">
        <v>109</v>
      </c>
    </row>
    <row r="60" customFormat="false" ht="19.5" hidden="false" customHeight="true" outlineLevel="0" collapsed="false">
      <c r="B60" s="29" t="s">
        <v>110</v>
      </c>
      <c r="C60" s="30" t="s">
        <v>111</v>
      </c>
      <c r="D60" s="30"/>
      <c r="E60" s="30" t="s">
        <v>112</v>
      </c>
      <c r="F60" s="30"/>
      <c r="G60" s="30" t="s">
        <v>113</v>
      </c>
      <c r="H60" s="30"/>
      <c r="I60" s="31" t="s">
        <v>114</v>
      </c>
      <c r="J60" s="32" t="s">
        <v>115</v>
      </c>
      <c r="K60" s="32"/>
    </row>
    <row r="61" customFormat="false" ht="19.5" hidden="false" customHeight="true" outlineLevel="0" collapsed="false">
      <c r="B61" s="33" t="s">
        <v>116</v>
      </c>
      <c r="C61" s="34" t="s">
        <v>117</v>
      </c>
      <c r="D61" s="34"/>
      <c r="E61" s="34" t="s">
        <v>112</v>
      </c>
      <c r="F61" s="34"/>
      <c r="G61" s="34" t="s">
        <v>117</v>
      </c>
      <c r="H61" s="34"/>
      <c r="I61" s="35" t="s">
        <v>114</v>
      </c>
      <c r="J61" s="36" t="s">
        <v>115</v>
      </c>
      <c r="K61" s="36"/>
    </row>
    <row r="62" customFormat="false" ht="19.5" hidden="false" customHeight="true" outlineLevel="0" collapsed="false">
      <c r="B62" s="29" t="s">
        <v>118</v>
      </c>
      <c r="C62" s="30" t="s">
        <v>119</v>
      </c>
      <c r="D62" s="30"/>
      <c r="E62" s="37" t="s">
        <v>112</v>
      </c>
      <c r="F62" s="37"/>
      <c r="G62" s="37" t="s">
        <v>120</v>
      </c>
      <c r="H62" s="37"/>
      <c r="I62" s="38" t="s">
        <v>114</v>
      </c>
      <c r="J62" s="39" t="s">
        <v>121</v>
      </c>
      <c r="K62" s="39"/>
    </row>
    <row r="63" customFormat="false" ht="19.5" hidden="false" customHeight="true" outlineLevel="0" collapsed="false">
      <c r="B63" s="33" t="s">
        <v>122</v>
      </c>
      <c r="C63" s="34" t="s">
        <v>123</v>
      </c>
      <c r="D63" s="34"/>
      <c r="E63" s="34" t="s">
        <v>112</v>
      </c>
      <c r="F63" s="34"/>
      <c r="G63" s="34" t="s">
        <v>123</v>
      </c>
      <c r="H63" s="34"/>
      <c r="I63" s="35" t="s">
        <v>114</v>
      </c>
      <c r="J63" s="36" t="s">
        <v>115</v>
      </c>
      <c r="K63" s="36"/>
    </row>
    <row r="64" customFormat="false" ht="19.5" hidden="false" customHeight="true" outlineLevel="0" collapsed="false">
      <c r="B64" s="29" t="s">
        <v>124</v>
      </c>
      <c r="C64" s="30" t="s">
        <v>125</v>
      </c>
      <c r="D64" s="30"/>
      <c r="E64" s="30" t="s">
        <v>112</v>
      </c>
      <c r="F64" s="30"/>
      <c r="G64" s="30" t="s">
        <v>125</v>
      </c>
      <c r="H64" s="30"/>
      <c r="I64" s="31" t="s">
        <v>114</v>
      </c>
      <c r="J64" s="32" t="s">
        <v>115</v>
      </c>
      <c r="K64" s="32"/>
    </row>
    <row r="65" customFormat="false" ht="19.5" hidden="false" customHeight="true" outlineLevel="0" collapsed="false">
      <c r="B65" s="33" t="s">
        <v>126</v>
      </c>
      <c r="C65" s="34" t="s">
        <v>127</v>
      </c>
      <c r="D65" s="34"/>
      <c r="E65" s="37" t="s">
        <v>112</v>
      </c>
      <c r="F65" s="37"/>
      <c r="G65" s="37" t="s">
        <v>128</v>
      </c>
      <c r="H65" s="37"/>
      <c r="I65" s="38" t="s">
        <v>114</v>
      </c>
      <c r="J65" s="39" t="s">
        <v>129</v>
      </c>
      <c r="K65" s="39"/>
    </row>
    <row r="66" customFormat="false" ht="19.5" hidden="false" customHeight="true" outlineLevel="0" collapsed="false">
      <c r="B66" s="29" t="s">
        <v>130</v>
      </c>
      <c r="C66" s="30" t="s">
        <v>131</v>
      </c>
      <c r="D66" s="30"/>
      <c r="E66" s="30" t="s">
        <v>112</v>
      </c>
      <c r="F66" s="30"/>
      <c r="G66" s="30" t="s">
        <v>132</v>
      </c>
      <c r="H66" s="30"/>
      <c r="I66" s="31" t="s">
        <v>114</v>
      </c>
      <c r="J66" s="32" t="s">
        <v>133</v>
      </c>
      <c r="K66" s="32"/>
    </row>
    <row r="67" customFormat="false" ht="19.5" hidden="false" customHeight="true" outlineLevel="0" collapsed="false">
      <c r="B67" s="33" t="s">
        <v>134</v>
      </c>
      <c r="C67" s="34" t="s">
        <v>135</v>
      </c>
      <c r="D67" s="34"/>
      <c r="E67" s="34" t="s">
        <v>112</v>
      </c>
      <c r="F67" s="34"/>
      <c r="G67" s="34" t="s">
        <v>135</v>
      </c>
      <c r="H67" s="34"/>
      <c r="I67" s="35" t="s">
        <v>114</v>
      </c>
      <c r="J67" s="36" t="s">
        <v>115</v>
      </c>
      <c r="K67" s="36"/>
    </row>
    <row r="68" customFormat="false" ht="7.5" hidden="false" customHeight="true" outlineLevel="0" collapsed="false"/>
    <row r="69" customFormat="false" ht="21.75" hidden="false" customHeight="true" outlineLevel="0" collapsed="false">
      <c r="A69" s="40" t="s">
        <v>136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</row>
    <row r="70" customFormat="false" ht="19.5" hidden="false" customHeight="true" outlineLevel="0" collapsed="false">
      <c r="B70" s="41" t="s">
        <v>137</v>
      </c>
      <c r="C70" s="42" t="s">
        <v>138</v>
      </c>
      <c r="D70" s="42"/>
      <c r="E70" s="42"/>
      <c r="F70" s="42"/>
      <c r="G70" s="41" t="s">
        <v>139</v>
      </c>
      <c r="H70" s="42" t="s">
        <v>140</v>
      </c>
      <c r="I70" s="42"/>
      <c r="J70" s="42"/>
      <c r="K70" s="42"/>
    </row>
    <row r="71" customFormat="false" ht="18" hidden="false" customHeight="true" outlineLevel="0" collapsed="false">
      <c r="B71" s="43" t="s">
        <v>141</v>
      </c>
      <c r="C71" s="44" t="s">
        <v>142</v>
      </c>
      <c r="D71" s="44"/>
      <c r="E71" s="44"/>
      <c r="F71" s="44"/>
      <c r="G71" s="45" t="n">
        <v>28</v>
      </c>
      <c r="H71" s="46" t="s">
        <v>143</v>
      </c>
      <c r="I71" s="46"/>
      <c r="J71" s="46"/>
      <c r="K71" s="46"/>
    </row>
    <row r="72" customFormat="false" ht="18" hidden="false" customHeight="true" outlineLevel="0" collapsed="false">
      <c r="B72" s="47" t="s">
        <v>144</v>
      </c>
      <c r="C72" s="48" t="s">
        <v>145</v>
      </c>
      <c r="D72" s="48"/>
      <c r="E72" s="48"/>
      <c r="F72" s="48"/>
      <c r="G72" s="49" t="n">
        <v>28</v>
      </c>
      <c r="H72" s="50" t="s">
        <v>143</v>
      </c>
      <c r="I72" s="50"/>
      <c r="J72" s="50"/>
      <c r="K72" s="50"/>
    </row>
    <row r="73" customFormat="false" ht="18" hidden="false" customHeight="true" outlineLevel="0" collapsed="false">
      <c r="B73" s="43" t="s">
        <v>146</v>
      </c>
      <c r="C73" s="44" t="s">
        <v>147</v>
      </c>
      <c r="D73" s="44"/>
      <c r="E73" s="44"/>
      <c r="F73" s="44"/>
      <c r="G73" s="45" t="n">
        <v>145</v>
      </c>
      <c r="H73" s="46" t="s">
        <v>148</v>
      </c>
      <c r="I73" s="46"/>
      <c r="J73" s="46"/>
      <c r="K73" s="46"/>
    </row>
    <row r="74" customFormat="false" ht="18" hidden="false" customHeight="true" outlineLevel="0" collapsed="false">
      <c r="B74" s="47" t="s">
        <v>149</v>
      </c>
      <c r="C74" s="48" t="s">
        <v>150</v>
      </c>
      <c r="D74" s="48"/>
      <c r="E74" s="48"/>
      <c r="F74" s="48"/>
      <c r="G74" s="49" t="n">
        <v>28</v>
      </c>
      <c r="H74" s="50" t="s">
        <v>143</v>
      </c>
      <c r="I74" s="50"/>
      <c r="J74" s="50"/>
      <c r="K74" s="50"/>
    </row>
    <row r="75" customFormat="false" ht="18" hidden="false" customHeight="true" outlineLevel="0" collapsed="false">
      <c r="B75" s="43" t="s">
        <v>119</v>
      </c>
      <c r="C75" s="44" t="s">
        <v>151</v>
      </c>
      <c r="D75" s="44"/>
      <c r="E75" s="44"/>
      <c r="F75" s="44"/>
      <c r="G75" s="45" t="n">
        <v>85</v>
      </c>
      <c r="H75" s="46" t="s">
        <v>152</v>
      </c>
      <c r="I75" s="46"/>
      <c r="J75" s="46"/>
      <c r="K75" s="46"/>
    </row>
    <row r="76" customFormat="false" ht="18" hidden="false" customHeight="true" outlineLevel="0" collapsed="false">
      <c r="B76" s="47" t="s">
        <v>153</v>
      </c>
      <c r="C76" s="48" t="s">
        <v>154</v>
      </c>
      <c r="D76" s="48"/>
      <c r="E76" s="48"/>
      <c r="F76" s="48"/>
      <c r="G76" s="49" t="n">
        <v>210</v>
      </c>
      <c r="H76" s="50" t="s">
        <v>155</v>
      </c>
      <c r="I76" s="50"/>
      <c r="J76" s="50"/>
      <c r="K76" s="50"/>
    </row>
    <row r="77" customFormat="false" ht="18" hidden="false" customHeight="true" outlineLevel="0" collapsed="false">
      <c r="B77" s="43" t="s">
        <v>156</v>
      </c>
      <c r="C77" s="44" t="s">
        <v>157</v>
      </c>
      <c r="D77" s="44"/>
      <c r="E77" s="44"/>
      <c r="F77" s="44"/>
      <c r="G77" s="45" t="n">
        <v>28</v>
      </c>
      <c r="H77" s="46" t="s">
        <v>143</v>
      </c>
      <c r="I77" s="46"/>
      <c r="J77" s="46"/>
      <c r="K77" s="46"/>
    </row>
    <row r="78" customFormat="false" ht="18" hidden="false" customHeight="true" outlineLevel="0" collapsed="false">
      <c r="B78" s="47" t="s">
        <v>158</v>
      </c>
      <c r="C78" s="48" t="s">
        <v>159</v>
      </c>
      <c r="D78" s="48"/>
      <c r="E78" s="48"/>
      <c r="F78" s="48"/>
      <c r="G78" s="49" t="n">
        <v>28</v>
      </c>
      <c r="H78" s="50" t="s">
        <v>143</v>
      </c>
      <c r="I78" s="50"/>
      <c r="J78" s="50"/>
      <c r="K78" s="50"/>
    </row>
    <row r="79" customFormat="false" ht="18" hidden="false" customHeight="true" outlineLevel="0" collapsed="false">
      <c r="B79" s="43" t="s">
        <v>160</v>
      </c>
      <c r="C79" s="44" t="s">
        <v>161</v>
      </c>
      <c r="D79" s="44"/>
      <c r="E79" s="44"/>
      <c r="F79" s="44"/>
      <c r="G79" s="45" t="n">
        <v>54</v>
      </c>
      <c r="H79" s="46" t="s">
        <v>162</v>
      </c>
      <c r="I79" s="46"/>
      <c r="J79" s="46"/>
      <c r="K79" s="46"/>
    </row>
    <row r="80" customFormat="false" ht="18" hidden="false" customHeight="true" outlineLevel="0" collapsed="false">
      <c r="B80" s="47" t="s">
        <v>163</v>
      </c>
      <c r="C80" s="48" t="s">
        <v>164</v>
      </c>
      <c r="D80" s="48"/>
      <c r="E80" s="48"/>
      <c r="F80" s="48"/>
      <c r="G80" s="49" t="n">
        <v>28</v>
      </c>
      <c r="H80" s="50" t="s">
        <v>143</v>
      </c>
      <c r="I80" s="50"/>
      <c r="J80" s="50"/>
      <c r="K80" s="50"/>
    </row>
    <row r="81" customFormat="false" ht="18" hidden="false" customHeight="true" outlineLevel="0" collapsed="false">
      <c r="B81" s="43" t="s">
        <v>165</v>
      </c>
      <c r="C81" s="44" t="s">
        <v>166</v>
      </c>
      <c r="D81" s="44"/>
      <c r="E81" s="44"/>
      <c r="F81" s="44"/>
      <c r="G81" s="45" t="n">
        <v>110</v>
      </c>
      <c r="H81" s="46" t="s">
        <v>152</v>
      </c>
      <c r="I81" s="46"/>
      <c r="J81" s="46"/>
      <c r="K81" s="46"/>
    </row>
    <row r="82" customFormat="false" ht="18" hidden="false" customHeight="true" outlineLevel="0" collapsed="false">
      <c r="B82" s="47" t="s">
        <v>167</v>
      </c>
      <c r="C82" s="48" t="s">
        <v>168</v>
      </c>
      <c r="D82" s="48"/>
      <c r="E82" s="48"/>
      <c r="F82" s="48"/>
      <c r="G82" s="49" t="n">
        <v>28</v>
      </c>
      <c r="H82" s="50" t="s">
        <v>143</v>
      </c>
      <c r="I82" s="50"/>
      <c r="J82" s="50"/>
      <c r="K82" s="50"/>
    </row>
    <row r="83" customFormat="false" ht="18" hidden="false" customHeight="true" outlineLevel="0" collapsed="false">
      <c r="B83" s="43" t="s">
        <v>169</v>
      </c>
      <c r="C83" s="44" t="s">
        <v>170</v>
      </c>
      <c r="D83" s="44"/>
      <c r="E83" s="44"/>
      <c r="F83" s="44"/>
      <c r="G83" s="45" t="n">
        <v>80</v>
      </c>
      <c r="H83" s="46" t="s">
        <v>171</v>
      </c>
      <c r="I83" s="46"/>
      <c r="J83" s="46"/>
      <c r="K83" s="46"/>
    </row>
    <row r="84" customFormat="false" ht="18" hidden="false" customHeight="true" outlineLevel="0" collapsed="false">
      <c r="B84" s="47" t="s">
        <v>172</v>
      </c>
      <c r="C84" s="48" t="s">
        <v>173</v>
      </c>
      <c r="D84" s="48"/>
      <c r="E84" s="48"/>
      <c r="F84" s="48"/>
      <c r="G84" s="49" t="n">
        <v>28</v>
      </c>
      <c r="H84" s="50" t="s">
        <v>143</v>
      </c>
      <c r="I84" s="50"/>
      <c r="J84" s="50"/>
      <c r="K84" s="50"/>
    </row>
    <row r="85" customFormat="false" ht="18" hidden="false" customHeight="true" outlineLevel="0" collapsed="false">
      <c r="B85" s="43" t="s">
        <v>174</v>
      </c>
      <c r="C85" s="44" t="s">
        <v>175</v>
      </c>
      <c r="D85" s="44"/>
      <c r="E85" s="44"/>
      <c r="F85" s="44"/>
      <c r="G85" s="45" t="n">
        <v>180</v>
      </c>
      <c r="H85" s="46" t="s">
        <v>152</v>
      </c>
      <c r="I85" s="46"/>
      <c r="J85" s="46"/>
      <c r="K85" s="46"/>
    </row>
    <row r="86" customFormat="false" ht="21.75" hidden="false" customHeight="true" outlineLevel="0" collapsed="false">
      <c r="B86" s="51" t="s">
        <v>176</v>
      </c>
      <c r="C86" s="51"/>
      <c r="D86" s="51"/>
      <c r="E86" s="51"/>
      <c r="F86" s="51"/>
      <c r="G86" s="52" t="n">
        <v>1088</v>
      </c>
    </row>
    <row r="87" customFormat="false" ht="7.5" hidden="false" customHeight="true" outlineLevel="0" collapsed="false"/>
    <row r="88" customFormat="false" ht="21.75" hidden="false" customHeight="true" outlineLevel="0" collapsed="false">
      <c r="A88" s="53" t="s">
        <v>177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</row>
    <row r="89" customFormat="false" ht="21.75" hidden="false" customHeight="true" outlineLevel="0" collapsed="false">
      <c r="B89" s="54" t="s">
        <v>137</v>
      </c>
      <c r="C89" s="54" t="s">
        <v>138</v>
      </c>
      <c r="D89" s="55" t="s">
        <v>178</v>
      </c>
      <c r="E89" s="55"/>
      <c r="F89" s="55"/>
      <c r="G89" s="54" t="s">
        <v>179</v>
      </c>
      <c r="H89" s="54" t="s">
        <v>180</v>
      </c>
      <c r="I89" s="54" t="s">
        <v>181</v>
      </c>
      <c r="J89" s="54" t="s">
        <v>182</v>
      </c>
    </row>
    <row r="90" customFormat="false" ht="19.5" hidden="false" customHeight="true" outlineLevel="0" collapsed="false">
      <c r="B90" s="56" t="s">
        <v>183</v>
      </c>
      <c r="C90" s="57" t="s">
        <v>184</v>
      </c>
      <c r="D90" s="58" t="s">
        <v>185</v>
      </c>
      <c r="E90" s="58"/>
      <c r="F90" s="58"/>
      <c r="G90" s="59" t="n">
        <v>1200</v>
      </c>
      <c r="H90" s="59" t="n">
        <v>1800</v>
      </c>
      <c r="I90" s="60" t="n">
        <v>3000</v>
      </c>
      <c r="J90" s="56" t="s">
        <v>186</v>
      </c>
    </row>
    <row r="91" customFormat="false" ht="19.5" hidden="false" customHeight="true" outlineLevel="0" collapsed="false">
      <c r="B91" s="61" t="s">
        <v>187</v>
      </c>
      <c r="C91" s="62" t="s">
        <v>188</v>
      </c>
      <c r="D91" s="63" t="s">
        <v>189</v>
      </c>
      <c r="E91" s="63"/>
      <c r="F91" s="63"/>
      <c r="G91" s="64" t="n">
        <v>0</v>
      </c>
      <c r="H91" s="64" t="n">
        <v>850</v>
      </c>
      <c r="I91" s="65" t="n">
        <v>850</v>
      </c>
      <c r="J91" s="61" t="s">
        <v>60</v>
      </c>
    </row>
    <row r="92" customFormat="false" ht="19.5" hidden="false" customHeight="true" outlineLevel="0" collapsed="false">
      <c r="B92" s="56" t="s">
        <v>190</v>
      </c>
      <c r="C92" s="57" t="s">
        <v>191</v>
      </c>
      <c r="D92" s="58" t="s">
        <v>192</v>
      </c>
      <c r="E92" s="58"/>
      <c r="F92" s="58"/>
      <c r="G92" s="59" t="n">
        <v>980</v>
      </c>
      <c r="H92" s="59" t="n">
        <v>420</v>
      </c>
      <c r="I92" s="60" t="n">
        <v>1400</v>
      </c>
      <c r="J92" s="56" t="s">
        <v>193</v>
      </c>
    </row>
    <row r="93" customFormat="false" ht="19.5" hidden="false" customHeight="true" outlineLevel="0" collapsed="false">
      <c r="B93" s="61" t="s">
        <v>194</v>
      </c>
      <c r="C93" s="62" t="s">
        <v>195</v>
      </c>
      <c r="D93" s="63" t="s">
        <v>185</v>
      </c>
      <c r="E93" s="63"/>
      <c r="F93" s="63"/>
      <c r="G93" s="64" t="n">
        <v>640</v>
      </c>
      <c r="H93" s="64" t="n">
        <v>780</v>
      </c>
      <c r="I93" s="65" t="n">
        <v>1420</v>
      </c>
      <c r="J93" s="61" t="s">
        <v>186</v>
      </c>
    </row>
    <row r="94" customFormat="false" ht="19.5" hidden="false" customHeight="true" outlineLevel="0" collapsed="false">
      <c r="B94" s="56" t="s">
        <v>196</v>
      </c>
      <c r="C94" s="57" t="s">
        <v>197</v>
      </c>
      <c r="D94" s="58" t="s">
        <v>198</v>
      </c>
      <c r="E94" s="58"/>
      <c r="F94" s="58"/>
      <c r="G94" s="59" t="n">
        <v>1100</v>
      </c>
      <c r="H94" s="59" t="n">
        <v>350</v>
      </c>
      <c r="I94" s="60" t="n">
        <v>1450</v>
      </c>
      <c r="J94" s="56" t="s">
        <v>199</v>
      </c>
    </row>
    <row r="95" customFormat="false" ht="19.5" hidden="false" customHeight="true" outlineLevel="0" collapsed="false">
      <c r="B95" s="61" t="s">
        <v>200</v>
      </c>
      <c r="C95" s="62" t="s">
        <v>201</v>
      </c>
      <c r="D95" s="63" t="s">
        <v>202</v>
      </c>
      <c r="E95" s="63"/>
      <c r="F95" s="63"/>
      <c r="G95" s="64" t="n">
        <v>580</v>
      </c>
      <c r="H95" s="64" t="n">
        <v>220</v>
      </c>
      <c r="I95" s="65" t="n">
        <v>800</v>
      </c>
      <c r="J95" s="61" t="s">
        <v>203</v>
      </c>
    </row>
    <row r="96" customFormat="false" ht="19.5" hidden="false" customHeight="true" outlineLevel="0" collapsed="false">
      <c r="B96" s="56" t="s">
        <v>204</v>
      </c>
      <c r="C96" s="57" t="s">
        <v>205</v>
      </c>
      <c r="D96" s="58" t="s">
        <v>206</v>
      </c>
      <c r="E96" s="58"/>
      <c r="F96" s="58"/>
      <c r="G96" s="59" t="n">
        <v>180</v>
      </c>
      <c r="H96" s="59" t="n">
        <v>260</v>
      </c>
      <c r="I96" s="60" t="n">
        <v>440</v>
      </c>
      <c r="J96" s="56" t="s">
        <v>60</v>
      </c>
    </row>
    <row r="97" customFormat="false" ht="19.5" hidden="false" customHeight="true" outlineLevel="0" collapsed="false">
      <c r="B97" s="61" t="s">
        <v>119</v>
      </c>
      <c r="C97" s="62" t="s">
        <v>151</v>
      </c>
      <c r="D97" s="63" t="s">
        <v>207</v>
      </c>
      <c r="E97" s="63"/>
      <c r="F97" s="63"/>
      <c r="G97" s="64" t="n">
        <v>0</v>
      </c>
      <c r="H97" s="64" t="n">
        <v>85</v>
      </c>
      <c r="I97" s="65" t="n">
        <v>85</v>
      </c>
      <c r="J97" s="61" t="s">
        <v>60</v>
      </c>
    </row>
    <row r="98" customFormat="false" ht="19.5" hidden="false" customHeight="true" outlineLevel="0" collapsed="false">
      <c r="B98" s="56" t="s">
        <v>165</v>
      </c>
      <c r="C98" s="57" t="s">
        <v>166</v>
      </c>
      <c r="D98" s="58" t="s">
        <v>208</v>
      </c>
      <c r="E98" s="58"/>
      <c r="F98" s="58"/>
      <c r="G98" s="59" t="n">
        <v>55</v>
      </c>
      <c r="H98" s="59" t="n">
        <v>55</v>
      </c>
      <c r="I98" s="60" t="n">
        <v>110</v>
      </c>
      <c r="J98" s="56" t="s">
        <v>209</v>
      </c>
    </row>
    <row r="99" customFormat="false" ht="19.5" hidden="false" customHeight="true" outlineLevel="0" collapsed="false">
      <c r="B99" s="61" t="s">
        <v>174</v>
      </c>
      <c r="C99" s="62" t="s">
        <v>210</v>
      </c>
      <c r="D99" s="63" t="s">
        <v>189</v>
      </c>
      <c r="E99" s="63"/>
      <c r="F99" s="63"/>
      <c r="G99" s="64" t="n">
        <v>0</v>
      </c>
      <c r="H99" s="64" t="n">
        <v>180</v>
      </c>
      <c r="I99" s="65" t="n">
        <v>180</v>
      </c>
      <c r="J99" s="61" t="s">
        <v>60</v>
      </c>
    </row>
    <row r="100" customFormat="false" ht="21.75" hidden="false" customHeight="true" outlineLevel="0" collapsed="false">
      <c r="B100" s="51" t="s">
        <v>211</v>
      </c>
      <c r="C100" s="51"/>
      <c r="D100" s="51"/>
      <c r="E100" s="51"/>
      <c r="F100" s="51"/>
      <c r="G100" s="52" t="n">
        <v>9735</v>
      </c>
    </row>
    <row r="101" customFormat="false" ht="7.5" hidden="false" customHeight="true" outlineLevel="0" collapsed="false"/>
    <row r="102" customFormat="false" ht="21.75" hidden="false" customHeight="true" outlineLevel="0" collapsed="false">
      <c r="A102" s="5" t="s">
        <v>212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customFormat="false" ht="19.5" hidden="false" customHeight="true" outlineLevel="0" collapsed="false">
      <c r="B103" s="66" t="s">
        <v>213</v>
      </c>
      <c r="C103" s="67" t="s">
        <v>214</v>
      </c>
      <c r="D103" s="67"/>
      <c r="E103" s="67"/>
      <c r="F103" s="66" t="s">
        <v>215</v>
      </c>
      <c r="G103" s="66" t="s">
        <v>216</v>
      </c>
      <c r="H103" s="67" t="s">
        <v>217</v>
      </c>
      <c r="I103" s="67"/>
      <c r="J103" s="10"/>
      <c r="K103" s="10"/>
    </row>
    <row r="104" customFormat="false" ht="19.5" hidden="false" customHeight="true" outlineLevel="0" collapsed="false">
      <c r="B104" s="68" t="s">
        <v>218</v>
      </c>
      <c r="C104" s="69" t="s">
        <v>219</v>
      </c>
      <c r="D104" s="69"/>
      <c r="E104" s="69"/>
      <c r="F104" s="70" t="n">
        <v>1</v>
      </c>
      <c r="G104" s="71" t="n">
        <v>680</v>
      </c>
      <c r="H104" s="72" t="n">
        <v>680</v>
      </c>
      <c r="I104" s="72"/>
      <c r="J104" s="73"/>
      <c r="K104" s="73"/>
    </row>
    <row r="105" customFormat="false" ht="19.5" hidden="false" customHeight="true" outlineLevel="0" collapsed="false">
      <c r="B105" s="74" t="s">
        <v>220</v>
      </c>
      <c r="C105" s="75" t="s">
        <v>219</v>
      </c>
      <c r="D105" s="75"/>
      <c r="E105" s="75"/>
      <c r="F105" s="76" t="n">
        <v>1</v>
      </c>
      <c r="G105" s="77" t="n">
        <v>210</v>
      </c>
      <c r="H105" s="78" t="n">
        <v>210</v>
      </c>
      <c r="I105" s="78"/>
      <c r="J105" s="79"/>
      <c r="K105" s="79"/>
    </row>
    <row r="106" customFormat="false" ht="19.5" hidden="false" customHeight="true" outlineLevel="0" collapsed="false">
      <c r="B106" s="68" t="s">
        <v>221</v>
      </c>
      <c r="C106" s="69" t="s">
        <v>219</v>
      </c>
      <c r="D106" s="69"/>
      <c r="E106" s="69"/>
      <c r="F106" s="70" t="n">
        <v>1</v>
      </c>
      <c r="G106" s="71" t="n">
        <v>890</v>
      </c>
      <c r="H106" s="72" t="n">
        <v>890</v>
      </c>
      <c r="I106" s="72"/>
      <c r="J106" s="73"/>
      <c r="K106" s="73"/>
    </row>
    <row r="107" customFormat="false" ht="19.5" hidden="false" customHeight="true" outlineLevel="0" collapsed="false">
      <c r="B107" s="74" t="s">
        <v>222</v>
      </c>
      <c r="C107" s="75" t="s">
        <v>219</v>
      </c>
      <c r="D107" s="75"/>
      <c r="E107" s="75"/>
      <c r="F107" s="76" t="n">
        <v>1</v>
      </c>
      <c r="G107" s="77" t="n">
        <v>1050</v>
      </c>
      <c r="H107" s="78" t="n">
        <v>1050</v>
      </c>
      <c r="I107" s="78"/>
      <c r="J107" s="79"/>
      <c r="K107" s="79"/>
    </row>
    <row r="108" customFormat="false" ht="19.5" hidden="false" customHeight="true" outlineLevel="0" collapsed="false">
      <c r="B108" s="68" t="s">
        <v>223</v>
      </c>
      <c r="C108" s="69" t="s">
        <v>224</v>
      </c>
      <c r="D108" s="69"/>
      <c r="E108" s="69"/>
      <c r="F108" s="70" t="n">
        <v>1</v>
      </c>
      <c r="G108" s="71" t="n">
        <v>780</v>
      </c>
      <c r="H108" s="72" t="n">
        <v>780</v>
      </c>
      <c r="I108" s="72"/>
      <c r="J108" s="73"/>
      <c r="K108" s="73"/>
    </row>
    <row r="109" customFormat="false" ht="19.5" hidden="false" customHeight="true" outlineLevel="0" collapsed="false">
      <c r="B109" s="74" t="s">
        <v>225</v>
      </c>
      <c r="C109" s="75" t="s">
        <v>224</v>
      </c>
      <c r="D109" s="75"/>
      <c r="E109" s="75"/>
      <c r="F109" s="76" t="n">
        <v>1</v>
      </c>
      <c r="G109" s="77" t="n">
        <v>560</v>
      </c>
      <c r="H109" s="78" t="n">
        <v>560</v>
      </c>
      <c r="I109" s="78"/>
      <c r="J109" s="79"/>
      <c r="K109" s="79"/>
    </row>
    <row r="110" customFormat="false" ht="19.5" hidden="false" customHeight="true" outlineLevel="0" collapsed="false">
      <c r="B110" s="68" t="s">
        <v>226</v>
      </c>
      <c r="C110" s="69" t="s">
        <v>227</v>
      </c>
      <c r="D110" s="69"/>
      <c r="E110" s="69"/>
      <c r="F110" s="70" t="n">
        <v>1</v>
      </c>
      <c r="G110" s="71" t="n">
        <v>610</v>
      </c>
      <c r="H110" s="72" t="n">
        <v>610</v>
      </c>
      <c r="I110" s="72"/>
      <c r="J110" s="73"/>
      <c r="K110" s="73"/>
    </row>
    <row r="111" customFormat="false" ht="19.5" hidden="false" customHeight="true" outlineLevel="0" collapsed="false">
      <c r="B111" s="74" t="s">
        <v>228</v>
      </c>
      <c r="C111" s="75" t="s">
        <v>227</v>
      </c>
      <c r="D111" s="75"/>
      <c r="E111" s="75"/>
      <c r="F111" s="76" t="n">
        <v>1</v>
      </c>
      <c r="G111" s="77" t="n">
        <v>480</v>
      </c>
      <c r="H111" s="78" t="n">
        <v>480</v>
      </c>
      <c r="I111" s="78"/>
      <c r="J111" s="79"/>
      <c r="K111" s="79"/>
    </row>
    <row r="112" customFormat="false" ht="19.5" hidden="false" customHeight="true" outlineLevel="0" collapsed="false">
      <c r="B112" s="68" t="s">
        <v>229</v>
      </c>
      <c r="C112" s="69" t="s">
        <v>227</v>
      </c>
      <c r="D112" s="69"/>
      <c r="E112" s="69"/>
      <c r="F112" s="70" t="n">
        <v>1</v>
      </c>
      <c r="G112" s="71" t="n">
        <v>180</v>
      </c>
      <c r="H112" s="72" t="n">
        <v>180</v>
      </c>
      <c r="I112" s="72"/>
      <c r="J112" s="73"/>
      <c r="K112" s="73"/>
    </row>
    <row r="113" customFormat="false" ht="19.5" hidden="false" customHeight="true" outlineLevel="0" collapsed="false">
      <c r="B113" s="74" t="s">
        <v>230</v>
      </c>
      <c r="C113" s="75" t="s">
        <v>231</v>
      </c>
      <c r="D113" s="75"/>
      <c r="E113" s="75"/>
      <c r="F113" s="76" t="n">
        <v>1</v>
      </c>
      <c r="G113" s="77" t="n">
        <v>620</v>
      </c>
      <c r="H113" s="78" t="n">
        <v>620</v>
      </c>
      <c r="I113" s="78"/>
      <c r="J113" s="79"/>
      <c r="K113" s="79"/>
    </row>
    <row r="114" customFormat="false" ht="19.5" hidden="false" customHeight="true" outlineLevel="0" collapsed="false">
      <c r="B114" s="68" t="s">
        <v>232</v>
      </c>
      <c r="C114" s="69" t="s">
        <v>233</v>
      </c>
      <c r="D114" s="69"/>
      <c r="E114" s="69"/>
      <c r="F114" s="70" t="n">
        <v>1</v>
      </c>
      <c r="G114" s="71" t="n">
        <v>0</v>
      </c>
      <c r="H114" s="72" t="n">
        <v>0</v>
      </c>
      <c r="I114" s="72"/>
      <c r="J114" s="73"/>
      <c r="K114" s="73"/>
    </row>
    <row r="115" customFormat="false" ht="19.5" hidden="false" customHeight="true" outlineLevel="0" collapsed="false">
      <c r="B115" s="74" t="s">
        <v>234</v>
      </c>
      <c r="C115" s="75" t="s">
        <v>233</v>
      </c>
      <c r="D115" s="75"/>
      <c r="E115" s="75"/>
      <c r="F115" s="76" t="n">
        <v>1</v>
      </c>
      <c r="G115" s="77" t="n">
        <v>120</v>
      </c>
      <c r="H115" s="78" t="n">
        <v>120</v>
      </c>
      <c r="I115" s="78"/>
      <c r="J115" s="79"/>
      <c r="K115" s="79"/>
    </row>
    <row r="116" customFormat="false" ht="19.5" hidden="false" customHeight="true" outlineLevel="0" collapsed="false">
      <c r="B116" s="68" t="s">
        <v>235</v>
      </c>
      <c r="C116" s="69" t="s">
        <v>219</v>
      </c>
      <c r="D116" s="69"/>
      <c r="E116" s="69"/>
      <c r="F116" s="70" t="n">
        <v>1</v>
      </c>
      <c r="G116" s="71" t="n">
        <v>95</v>
      </c>
      <c r="H116" s="72" t="n">
        <v>95</v>
      </c>
      <c r="I116" s="72"/>
      <c r="J116" s="73"/>
      <c r="K116" s="73"/>
    </row>
    <row r="117" customFormat="false" ht="19.5" hidden="false" customHeight="true" outlineLevel="0" collapsed="false">
      <c r="B117" s="74" t="s">
        <v>236</v>
      </c>
      <c r="C117" s="75" t="s">
        <v>224</v>
      </c>
      <c r="D117" s="75"/>
      <c r="E117" s="75"/>
      <c r="F117" s="76" t="n">
        <v>2</v>
      </c>
      <c r="G117" s="77" t="n">
        <v>130</v>
      </c>
      <c r="H117" s="78" t="n">
        <v>260</v>
      </c>
      <c r="I117" s="78"/>
      <c r="J117" s="79"/>
      <c r="K117" s="79"/>
    </row>
    <row r="118" customFormat="false" ht="19.5" hidden="false" customHeight="true" outlineLevel="0" collapsed="false">
      <c r="B118" s="68" t="s">
        <v>237</v>
      </c>
      <c r="C118" s="69" t="s">
        <v>233</v>
      </c>
      <c r="D118" s="69"/>
      <c r="E118" s="69"/>
      <c r="F118" s="70" t="n">
        <v>1</v>
      </c>
      <c r="G118" s="71" t="n">
        <v>185</v>
      </c>
      <c r="H118" s="72" t="n">
        <v>185</v>
      </c>
      <c r="I118" s="72"/>
      <c r="J118" s="73"/>
      <c r="K118" s="73"/>
    </row>
    <row r="119" customFormat="false" ht="21.75" hidden="false" customHeight="true" outlineLevel="0" collapsed="false">
      <c r="B119" s="80" t="s">
        <v>238</v>
      </c>
      <c r="C119" s="80"/>
      <c r="D119" s="80"/>
      <c r="E119" s="80"/>
      <c r="F119" s="80"/>
      <c r="G119" s="80"/>
      <c r="H119" s="80"/>
      <c r="I119" s="81" t="n">
        <v>6720</v>
      </c>
      <c r="J119" s="81"/>
      <c r="K119" s="81"/>
    </row>
    <row r="120" customFormat="false" ht="9.75" hidden="false" customHeight="true" outlineLevel="0" collapsed="false"/>
    <row r="121" customFormat="false" ht="21.75" hidden="false" customHeight="true" outlineLevel="0" collapsed="false">
      <c r="A121" s="82" t="s">
        <v>239</v>
      </c>
      <c r="B121" s="82"/>
      <c r="C121" s="82"/>
      <c r="D121" s="82"/>
      <c r="E121" s="82"/>
      <c r="F121" s="82"/>
      <c r="G121" s="82"/>
      <c r="H121" s="82"/>
      <c r="I121" s="82"/>
      <c r="J121" s="82"/>
      <c r="K121" s="82"/>
    </row>
    <row r="122" customFormat="false" ht="21.75" hidden="false" customHeight="true" outlineLevel="0" collapsed="false">
      <c r="B122" s="83" t="s">
        <v>240</v>
      </c>
      <c r="C122" s="83" t="s">
        <v>241</v>
      </c>
      <c r="D122" s="83" t="s">
        <v>138</v>
      </c>
      <c r="E122" s="84" t="s">
        <v>242</v>
      </c>
      <c r="F122" s="84"/>
      <c r="G122" s="84"/>
      <c r="H122" s="84"/>
      <c r="I122" s="84"/>
      <c r="J122" s="84"/>
    </row>
    <row r="123" customFormat="false" ht="21.75" hidden="false" customHeight="true" outlineLevel="0" collapsed="false">
      <c r="B123" s="85" t="s">
        <v>243</v>
      </c>
      <c r="C123" s="86" t="s">
        <v>244</v>
      </c>
      <c r="D123" s="87" t="s">
        <v>245</v>
      </c>
      <c r="E123" s="87"/>
      <c r="F123" s="87"/>
      <c r="G123" s="87"/>
      <c r="H123" s="87"/>
      <c r="I123" s="87"/>
      <c r="J123" s="87"/>
      <c r="K123" s="88" t="s">
        <v>246</v>
      </c>
    </row>
    <row r="124" customFormat="false" ht="21.75" hidden="false" customHeight="true" outlineLevel="0" collapsed="false">
      <c r="B124" s="89" t="s">
        <v>247</v>
      </c>
      <c r="C124" s="90" t="s">
        <v>248</v>
      </c>
      <c r="D124" s="13" t="s">
        <v>249</v>
      </c>
      <c r="E124" s="13"/>
      <c r="F124" s="13"/>
      <c r="G124" s="13"/>
      <c r="H124" s="13"/>
      <c r="I124" s="13"/>
      <c r="J124" s="13"/>
      <c r="K124" s="91" t="s">
        <v>246</v>
      </c>
    </row>
    <row r="125" customFormat="false" ht="21.75" hidden="false" customHeight="true" outlineLevel="0" collapsed="false">
      <c r="B125" s="85" t="s">
        <v>250</v>
      </c>
      <c r="C125" s="86" t="s">
        <v>251</v>
      </c>
      <c r="D125" s="87" t="s">
        <v>252</v>
      </c>
      <c r="E125" s="87"/>
      <c r="F125" s="87"/>
      <c r="G125" s="87"/>
      <c r="H125" s="87"/>
      <c r="I125" s="87"/>
      <c r="J125" s="87"/>
      <c r="K125" s="88" t="s">
        <v>246</v>
      </c>
    </row>
    <row r="126" customFormat="false" ht="21.75" hidden="false" customHeight="true" outlineLevel="0" collapsed="false">
      <c r="B126" s="89" t="s">
        <v>253</v>
      </c>
      <c r="C126" s="90" t="s">
        <v>254</v>
      </c>
      <c r="D126" s="13" t="s">
        <v>255</v>
      </c>
      <c r="E126" s="13"/>
      <c r="F126" s="13"/>
      <c r="G126" s="13"/>
      <c r="H126" s="13"/>
      <c r="I126" s="13"/>
      <c r="J126" s="13"/>
      <c r="K126" s="91" t="s">
        <v>246</v>
      </c>
    </row>
    <row r="127" customFormat="false" ht="21.75" hidden="false" customHeight="true" outlineLevel="0" collapsed="false">
      <c r="B127" s="85" t="s">
        <v>256</v>
      </c>
      <c r="C127" s="86" t="s">
        <v>257</v>
      </c>
      <c r="D127" s="87" t="s">
        <v>258</v>
      </c>
      <c r="E127" s="87"/>
      <c r="F127" s="87"/>
      <c r="G127" s="87"/>
      <c r="H127" s="87"/>
      <c r="I127" s="87"/>
      <c r="J127" s="87"/>
      <c r="K127" s="88" t="s">
        <v>246</v>
      </c>
    </row>
    <row r="128" customFormat="false" ht="21.75" hidden="false" customHeight="true" outlineLevel="0" collapsed="false">
      <c r="B128" s="89" t="s">
        <v>259</v>
      </c>
      <c r="C128" s="90" t="s">
        <v>17</v>
      </c>
      <c r="D128" s="13" t="s">
        <v>260</v>
      </c>
      <c r="E128" s="13"/>
      <c r="F128" s="13"/>
      <c r="G128" s="13"/>
      <c r="H128" s="13"/>
      <c r="I128" s="13"/>
      <c r="J128" s="13"/>
      <c r="K128" s="91" t="s">
        <v>261</v>
      </c>
    </row>
    <row r="129" customFormat="false" ht="21.75" hidden="false" customHeight="true" outlineLevel="0" collapsed="false">
      <c r="B129" s="85" t="s">
        <v>262</v>
      </c>
      <c r="C129" s="86" t="s">
        <v>263</v>
      </c>
      <c r="D129" s="87" t="s">
        <v>264</v>
      </c>
      <c r="E129" s="87"/>
      <c r="F129" s="87"/>
      <c r="G129" s="87"/>
      <c r="H129" s="87"/>
      <c r="I129" s="87"/>
      <c r="J129" s="87"/>
      <c r="K129" s="88" t="s">
        <v>246</v>
      </c>
    </row>
    <row r="130" customFormat="false" ht="7.5" hidden="false" customHeight="true" outlineLevel="0" collapsed="false"/>
    <row r="131" customFormat="false" ht="25.5" hidden="false" customHeight="true" outlineLevel="0" collapsed="false">
      <c r="B131" s="92" t="s">
        <v>265</v>
      </c>
      <c r="C131" s="92"/>
      <c r="D131" s="92"/>
      <c r="E131" s="92"/>
      <c r="F131" s="92"/>
      <c r="G131" s="92"/>
      <c r="H131" s="92"/>
      <c r="I131" s="92"/>
      <c r="J131" s="92"/>
      <c r="K131" s="92"/>
    </row>
  </sheetData>
  <mergeCells count="232">
    <mergeCell ref="A1:K1"/>
    <mergeCell ref="A2:K2"/>
    <mergeCell ref="A4:K4"/>
    <mergeCell ref="B5:K5"/>
    <mergeCell ref="A7:K7"/>
    <mergeCell ref="B8:D8"/>
    <mergeCell ref="E8:K8"/>
    <mergeCell ref="B10:D10"/>
    <mergeCell ref="E10:K10"/>
    <mergeCell ref="B12:D12"/>
    <mergeCell ref="E12:K12"/>
    <mergeCell ref="B14:D14"/>
    <mergeCell ref="E14:K14"/>
    <mergeCell ref="B16:D16"/>
    <mergeCell ref="E16:K16"/>
    <mergeCell ref="B18:D18"/>
    <mergeCell ref="E18:K18"/>
    <mergeCell ref="B20:D20"/>
    <mergeCell ref="E20:K20"/>
    <mergeCell ref="B22:D22"/>
    <mergeCell ref="E22:K22"/>
    <mergeCell ref="B24:D24"/>
    <mergeCell ref="E24:K24"/>
    <mergeCell ref="A27:K27"/>
    <mergeCell ref="B28:D28"/>
    <mergeCell ref="E28:K28"/>
    <mergeCell ref="B29:D29"/>
    <mergeCell ref="E29:K29"/>
    <mergeCell ref="B30:D30"/>
    <mergeCell ref="E30:K30"/>
    <mergeCell ref="B31:D31"/>
    <mergeCell ref="E31:K31"/>
    <mergeCell ref="B32:D32"/>
    <mergeCell ref="E32:K32"/>
    <mergeCell ref="B33:D33"/>
    <mergeCell ref="E33:K33"/>
    <mergeCell ref="B34:D34"/>
    <mergeCell ref="E34:K34"/>
    <mergeCell ref="B35:D35"/>
    <mergeCell ref="E35:K35"/>
    <mergeCell ref="B36:D36"/>
    <mergeCell ref="E36:K36"/>
    <mergeCell ref="A38:K38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A47:K47"/>
    <mergeCell ref="C49:E49"/>
    <mergeCell ref="G49:K49"/>
    <mergeCell ref="C50:E50"/>
    <mergeCell ref="G50:K50"/>
    <mergeCell ref="C51:E51"/>
    <mergeCell ref="G51:K51"/>
    <mergeCell ref="C52:E52"/>
    <mergeCell ref="G52:K52"/>
    <mergeCell ref="C53:E53"/>
    <mergeCell ref="G53:K53"/>
    <mergeCell ref="C54:E54"/>
    <mergeCell ref="G54:K54"/>
    <mergeCell ref="C55:E55"/>
    <mergeCell ref="G55:K55"/>
    <mergeCell ref="C56:E56"/>
    <mergeCell ref="G56:K56"/>
    <mergeCell ref="A58:K58"/>
    <mergeCell ref="C59:D59"/>
    <mergeCell ref="E59:F59"/>
    <mergeCell ref="G59:H59"/>
    <mergeCell ref="C60:D60"/>
    <mergeCell ref="E60:F60"/>
    <mergeCell ref="G60:H60"/>
    <mergeCell ref="J60:K60"/>
    <mergeCell ref="C61:D61"/>
    <mergeCell ref="E61:F61"/>
    <mergeCell ref="G61:H61"/>
    <mergeCell ref="J61:K61"/>
    <mergeCell ref="C62:D62"/>
    <mergeCell ref="E62:F62"/>
    <mergeCell ref="G62:H62"/>
    <mergeCell ref="J62:K62"/>
    <mergeCell ref="C63:D63"/>
    <mergeCell ref="E63:F63"/>
    <mergeCell ref="G63:H63"/>
    <mergeCell ref="J63:K63"/>
    <mergeCell ref="C64:D64"/>
    <mergeCell ref="E64:F64"/>
    <mergeCell ref="G64:H64"/>
    <mergeCell ref="J64:K64"/>
    <mergeCell ref="C65:D65"/>
    <mergeCell ref="E65:F65"/>
    <mergeCell ref="G65:H65"/>
    <mergeCell ref="J65:K65"/>
    <mergeCell ref="C66:D66"/>
    <mergeCell ref="E66:F66"/>
    <mergeCell ref="G66:H66"/>
    <mergeCell ref="J66:K66"/>
    <mergeCell ref="C67:D67"/>
    <mergeCell ref="E67:F67"/>
    <mergeCell ref="G67:H67"/>
    <mergeCell ref="J67:K67"/>
    <mergeCell ref="A69:K69"/>
    <mergeCell ref="C70:F70"/>
    <mergeCell ref="H70:K70"/>
    <mergeCell ref="C71:F71"/>
    <mergeCell ref="H71:K71"/>
    <mergeCell ref="C72:F72"/>
    <mergeCell ref="H72:K72"/>
    <mergeCell ref="C73:F73"/>
    <mergeCell ref="H73:K73"/>
    <mergeCell ref="C74:F74"/>
    <mergeCell ref="H74:K74"/>
    <mergeCell ref="C75:F75"/>
    <mergeCell ref="H75:K75"/>
    <mergeCell ref="C76:F76"/>
    <mergeCell ref="H76:K76"/>
    <mergeCell ref="C77:F77"/>
    <mergeCell ref="H77:K77"/>
    <mergeCell ref="C78:F78"/>
    <mergeCell ref="H78:K78"/>
    <mergeCell ref="C79:F79"/>
    <mergeCell ref="H79:K79"/>
    <mergeCell ref="C80:F80"/>
    <mergeCell ref="H80:K80"/>
    <mergeCell ref="C81:F81"/>
    <mergeCell ref="H81:K81"/>
    <mergeCell ref="C82:F82"/>
    <mergeCell ref="H82:K82"/>
    <mergeCell ref="C83:F83"/>
    <mergeCell ref="H83:K83"/>
    <mergeCell ref="C84:F84"/>
    <mergeCell ref="H84:K84"/>
    <mergeCell ref="C85:F85"/>
    <mergeCell ref="H85:K85"/>
    <mergeCell ref="B86:F86"/>
    <mergeCell ref="A88:K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B100:F100"/>
    <mergeCell ref="A102:K102"/>
    <mergeCell ref="C103:E103"/>
    <mergeCell ref="H103:I103"/>
    <mergeCell ref="J103:K103"/>
    <mergeCell ref="C104:E104"/>
    <mergeCell ref="H104:I104"/>
    <mergeCell ref="J104:K104"/>
    <mergeCell ref="C105:E105"/>
    <mergeCell ref="H105:I105"/>
    <mergeCell ref="J105:K105"/>
    <mergeCell ref="C106:E106"/>
    <mergeCell ref="H106:I106"/>
    <mergeCell ref="J106:K106"/>
    <mergeCell ref="C107:E107"/>
    <mergeCell ref="H107:I107"/>
    <mergeCell ref="J107:K107"/>
    <mergeCell ref="C108:E108"/>
    <mergeCell ref="H108:I108"/>
    <mergeCell ref="J108:K108"/>
    <mergeCell ref="C109:E109"/>
    <mergeCell ref="H109:I109"/>
    <mergeCell ref="J109:K109"/>
    <mergeCell ref="C110:E110"/>
    <mergeCell ref="H110:I110"/>
    <mergeCell ref="J110:K110"/>
    <mergeCell ref="C111:E111"/>
    <mergeCell ref="H111:I111"/>
    <mergeCell ref="J111:K111"/>
    <mergeCell ref="C112:E112"/>
    <mergeCell ref="H112:I112"/>
    <mergeCell ref="J112:K112"/>
    <mergeCell ref="C113:E113"/>
    <mergeCell ref="H113:I113"/>
    <mergeCell ref="J113:K113"/>
    <mergeCell ref="C114:E114"/>
    <mergeCell ref="H114:I114"/>
    <mergeCell ref="J114:K114"/>
    <mergeCell ref="C115:E115"/>
    <mergeCell ref="H115:I115"/>
    <mergeCell ref="J115:K115"/>
    <mergeCell ref="C116:E116"/>
    <mergeCell ref="H116:I116"/>
    <mergeCell ref="J116:K116"/>
    <mergeCell ref="C117:E117"/>
    <mergeCell ref="H117:I117"/>
    <mergeCell ref="J117:K117"/>
    <mergeCell ref="C118:E118"/>
    <mergeCell ref="H118:I118"/>
    <mergeCell ref="J118:K118"/>
    <mergeCell ref="B119:H119"/>
    <mergeCell ref="I119:K119"/>
    <mergeCell ref="A121:K121"/>
    <mergeCell ref="E122:J122"/>
    <mergeCell ref="D123:J123"/>
    <mergeCell ref="D124:J124"/>
    <mergeCell ref="D125:J125"/>
    <mergeCell ref="D126:J126"/>
    <mergeCell ref="D127:J127"/>
    <mergeCell ref="D128:J128"/>
    <mergeCell ref="D129:J129"/>
    <mergeCell ref="B131:K1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34"/>
  </cols>
  <sheetData>
    <row r="1" customFormat="false" ht="36" hidden="false" customHeight="true" outlineLevel="0" collapsed="false">
      <c r="A1" s="93" t="s">
        <v>266</v>
      </c>
      <c r="B1" s="93"/>
      <c r="C1" s="93"/>
      <c r="D1" s="93"/>
      <c r="E1" s="93"/>
    </row>
    <row r="2" customFormat="false" ht="18" hidden="false" customHeight="true" outlineLevel="0" collapsed="false">
      <c r="A2" s="2" t="s">
        <v>267</v>
      </c>
      <c r="B2" s="2"/>
      <c r="C2" s="2"/>
      <c r="D2" s="2"/>
      <c r="E2" s="2"/>
    </row>
    <row r="3" customFormat="false" ht="6.75" hidden="false" customHeight="true" outlineLevel="0" collapsed="false"/>
    <row r="4" customFormat="false" ht="21.75" hidden="false" customHeight="true" outlineLevel="0" collapsed="false">
      <c r="A4" s="3" t="s">
        <v>268</v>
      </c>
      <c r="B4" s="3"/>
      <c r="C4" s="3"/>
      <c r="D4" s="3"/>
      <c r="E4" s="3"/>
    </row>
    <row r="5" customFormat="false" ht="21.75" hidden="false" customHeight="true" outlineLevel="0" collapsed="false">
      <c r="B5" s="94" t="s">
        <v>269</v>
      </c>
      <c r="C5" s="95"/>
      <c r="D5" s="95"/>
      <c r="E5" s="95"/>
    </row>
    <row r="6" customFormat="false" ht="21.75" hidden="false" customHeight="true" outlineLevel="0" collapsed="false">
      <c r="B6" s="94" t="s">
        <v>270</v>
      </c>
      <c r="C6" s="95"/>
      <c r="D6" s="95"/>
      <c r="E6" s="95"/>
    </row>
    <row r="7" customFormat="false" ht="21.75" hidden="false" customHeight="true" outlineLevel="0" collapsed="false">
      <c r="B7" s="94" t="s">
        <v>271</v>
      </c>
      <c r="C7" s="95"/>
      <c r="D7" s="95"/>
      <c r="E7" s="95"/>
    </row>
    <row r="8" customFormat="false" ht="21.75" hidden="false" customHeight="true" outlineLevel="0" collapsed="false">
      <c r="B8" s="94" t="s">
        <v>272</v>
      </c>
      <c r="C8" s="95"/>
      <c r="D8" s="95"/>
      <c r="E8" s="95"/>
    </row>
    <row r="9" customFormat="false" ht="21.75" hidden="false" customHeight="true" outlineLevel="0" collapsed="false">
      <c r="B9" s="94" t="s">
        <v>273</v>
      </c>
      <c r="C9" s="95"/>
      <c r="D9" s="95"/>
      <c r="E9" s="95"/>
    </row>
    <row r="10" customFormat="false" ht="21.75" hidden="false" customHeight="true" outlineLevel="0" collapsed="false">
      <c r="B10" s="94" t="s">
        <v>274</v>
      </c>
      <c r="C10" s="95"/>
      <c r="D10" s="95"/>
      <c r="E10" s="95"/>
    </row>
    <row r="11" customFormat="false" ht="21.75" hidden="false" customHeight="true" outlineLevel="0" collapsed="false">
      <c r="B11" s="94" t="s">
        <v>275</v>
      </c>
      <c r="C11" s="95"/>
      <c r="D11" s="95"/>
      <c r="E11" s="95"/>
    </row>
    <row r="12" customFormat="false" ht="21.75" hidden="false" customHeight="true" outlineLevel="0" collapsed="false">
      <c r="B12" s="94" t="s">
        <v>276</v>
      </c>
      <c r="C12" s="95"/>
      <c r="D12" s="95"/>
      <c r="E12" s="95"/>
    </row>
    <row r="13" customFormat="false" ht="21.75" hidden="false" customHeight="true" outlineLevel="0" collapsed="false">
      <c r="B13" s="94" t="s">
        <v>277</v>
      </c>
      <c r="C13" s="95"/>
      <c r="D13" s="95"/>
      <c r="E13" s="95"/>
    </row>
    <row r="14" customFormat="false" ht="21.75" hidden="false" customHeight="true" outlineLevel="0" collapsed="false">
      <c r="B14" s="94" t="s">
        <v>278</v>
      </c>
      <c r="C14" s="95"/>
      <c r="D14" s="95"/>
      <c r="E14" s="95"/>
    </row>
    <row r="15" customFormat="false" ht="7.5" hidden="false" customHeight="true" outlineLevel="0" collapsed="false"/>
    <row r="16" customFormat="false" ht="21.75" hidden="false" customHeight="true" outlineLevel="0" collapsed="false">
      <c r="A16" s="3" t="s">
        <v>279</v>
      </c>
      <c r="B16" s="3"/>
      <c r="C16" s="3"/>
      <c r="D16" s="3"/>
      <c r="E16" s="3"/>
    </row>
    <row r="17" customFormat="false" ht="21.75" hidden="false" customHeight="true" outlineLevel="0" collapsed="false">
      <c r="B17" s="94" t="s">
        <v>280</v>
      </c>
      <c r="C17" s="96"/>
      <c r="D17" s="96"/>
      <c r="E17" s="96"/>
    </row>
    <row r="18" customFormat="false" ht="21.75" hidden="false" customHeight="true" outlineLevel="0" collapsed="false">
      <c r="B18" s="94" t="s">
        <v>281</v>
      </c>
      <c r="C18" s="97"/>
      <c r="D18" s="97"/>
      <c r="E18" s="97"/>
    </row>
    <row r="19" customFormat="false" ht="21.75" hidden="false" customHeight="true" outlineLevel="0" collapsed="false">
      <c r="B19" s="94" t="s">
        <v>282</v>
      </c>
      <c r="C19" s="96"/>
      <c r="D19" s="96"/>
      <c r="E19" s="96"/>
    </row>
    <row r="20" customFormat="false" ht="21.75" hidden="false" customHeight="true" outlineLevel="0" collapsed="false">
      <c r="B20" s="94" t="s">
        <v>283</v>
      </c>
      <c r="C20" s="96"/>
      <c r="D20" s="96"/>
      <c r="E20" s="96"/>
    </row>
    <row r="21" customFormat="false" ht="21.75" hidden="false" customHeight="true" outlineLevel="0" collapsed="false">
      <c r="B21" s="94" t="s">
        <v>284</v>
      </c>
      <c r="C21" s="96"/>
      <c r="D21" s="96"/>
      <c r="E21" s="96"/>
    </row>
    <row r="22" customFormat="false" ht="21.75" hidden="false" customHeight="true" outlineLevel="0" collapsed="false">
      <c r="B22" s="94" t="s">
        <v>285</v>
      </c>
      <c r="C22" s="96"/>
      <c r="D22" s="96"/>
      <c r="E22" s="96"/>
    </row>
    <row r="23" customFormat="false" ht="21.75" hidden="false" customHeight="true" outlineLevel="0" collapsed="false">
      <c r="B23" s="94" t="s">
        <v>286</v>
      </c>
      <c r="C23" s="96"/>
      <c r="D23" s="96"/>
      <c r="E23" s="96"/>
    </row>
    <row r="24" customFormat="false" ht="21.75" hidden="false" customHeight="true" outlineLevel="0" collapsed="false">
      <c r="B24" s="98" t="s">
        <v>287</v>
      </c>
      <c r="C24" s="99"/>
      <c r="D24" s="99"/>
      <c r="E24" s="99"/>
    </row>
    <row r="26" customFormat="false" ht="7.5" hidden="false" customHeight="true" outlineLevel="0" collapsed="false"/>
    <row r="27" customFormat="false" ht="21.75" hidden="false" customHeight="true" outlineLevel="0" collapsed="false">
      <c r="A27" s="3" t="s">
        <v>288</v>
      </c>
      <c r="B27" s="3"/>
      <c r="C27" s="3"/>
      <c r="D27" s="3"/>
      <c r="E27" s="3"/>
    </row>
    <row r="28" customFormat="false" ht="21.75" hidden="false" customHeight="true" outlineLevel="0" collapsed="false">
      <c r="B28" s="94" t="s">
        <v>289</v>
      </c>
      <c r="C28" s="95"/>
      <c r="D28" s="95"/>
      <c r="E28" s="95"/>
    </row>
    <row r="29" customFormat="false" ht="21.75" hidden="false" customHeight="true" outlineLevel="0" collapsed="false">
      <c r="B29" s="94" t="s">
        <v>290</v>
      </c>
      <c r="C29" s="95"/>
      <c r="D29" s="95"/>
      <c r="E29" s="95"/>
    </row>
    <row r="30" customFormat="false" ht="21.75" hidden="false" customHeight="true" outlineLevel="0" collapsed="false">
      <c r="B30" s="94" t="s">
        <v>291</v>
      </c>
      <c r="C30" s="95"/>
      <c r="D30" s="95"/>
      <c r="E30" s="95"/>
    </row>
    <row r="31" customFormat="false" ht="21.75" hidden="false" customHeight="true" outlineLevel="0" collapsed="false">
      <c r="B31" s="94" t="s">
        <v>292</v>
      </c>
      <c r="C31" s="95"/>
      <c r="D31" s="95"/>
      <c r="E31" s="95"/>
    </row>
    <row r="32" customFormat="false" ht="21.75" hidden="false" customHeight="true" outlineLevel="0" collapsed="false">
      <c r="B32" s="94" t="s">
        <v>293</v>
      </c>
      <c r="C32" s="95"/>
      <c r="D32" s="95"/>
      <c r="E32" s="95"/>
    </row>
    <row r="33" customFormat="false" ht="21.75" hidden="false" customHeight="true" outlineLevel="0" collapsed="false">
      <c r="B33" s="94" t="s">
        <v>294</v>
      </c>
      <c r="C33" s="95"/>
      <c r="D33" s="95"/>
      <c r="E33" s="95"/>
    </row>
    <row r="34" customFormat="false" ht="21.75" hidden="false" customHeight="true" outlineLevel="0" collapsed="false">
      <c r="B34" s="94" t="s">
        <v>295</v>
      </c>
      <c r="C34" s="95"/>
      <c r="D34" s="95"/>
      <c r="E34" s="95"/>
    </row>
    <row r="35" customFormat="false" ht="21.75" hidden="false" customHeight="true" outlineLevel="0" collapsed="false">
      <c r="B35" s="94" t="s">
        <v>296</v>
      </c>
      <c r="C35" s="95"/>
      <c r="D35" s="95"/>
      <c r="E35" s="95"/>
    </row>
    <row r="36" customFormat="false" ht="21.75" hidden="false" customHeight="true" outlineLevel="0" collapsed="false">
      <c r="B36" s="94" t="s">
        <v>297</v>
      </c>
      <c r="C36" s="95"/>
      <c r="D36" s="95"/>
      <c r="E36" s="95"/>
    </row>
    <row r="38" customFormat="false" ht="7.5" hidden="false" customHeight="true" outlineLevel="0" collapsed="false"/>
    <row r="39" customFormat="false" ht="21.75" hidden="false" customHeight="true" outlineLevel="0" collapsed="false">
      <c r="A39" s="5" t="s">
        <v>298</v>
      </c>
      <c r="B39" s="5"/>
      <c r="C39" s="5"/>
      <c r="D39" s="5"/>
      <c r="E39" s="5"/>
    </row>
    <row r="40" customFormat="false" ht="21.75" hidden="false" customHeight="true" outlineLevel="0" collapsed="false">
      <c r="B40" s="66" t="s">
        <v>42</v>
      </c>
      <c r="C40" s="66" t="s">
        <v>43</v>
      </c>
      <c r="D40" s="66" t="s">
        <v>299</v>
      </c>
      <c r="E40" s="66"/>
    </row>
    <row r="41" customFormat="false" ht="21.75" hidden="false" customHeight="true" outlineLevel="0" collapsed="false">
      <c r="B41" s="100" t="s">
        <v>300</v>
      </c>
      <c r="C41" s="101"/>
      <c r="D41" s="95"/>
      <c r="E41" s="95"/>
    </row>
    <row r="42" customFormat="false" ht="21.75" hidden="false" customHeight="true" outlineLevel="0" collapsed="false">
      <c r="B42" s="102" t="s">
        <v>301</v>
      </c>
      <c r="C42" s="101"/>
      <c r="D42" s="95"/>
      <c r="E42" s="95"/>
    </row>
    <row r="43" customFormat="false" ht="21.75" hidden="false" customHeight="true" outlineLevel="0" collapsed="false">
      <c r="B43" s="100" t="s">
        <v>302</v>
      </c>
      <c r="C43" s="101"/>
      <c r="D43" s="95"/>
      <c r="E43" s="95"/>
    </row>
    <row r="44" customFormat="false" ht="21.75" hidden="false" customHeight="true" outlineLevel="0" collapsed="false">
      <c r="B44" s="102" t="s">
        <v>303</v>
      </c>
      <c r="C44" s="101"/>
      <c r="D44" s="95"/>
      <c r="E44" s="95"/>
    </row>
    <row r="45" customFormat="false" ht="21.75" hidden="false" customHeight="true" outlineLevel="0" collapsed="false">
      <c r="B45" s="100" t="s">
        <v>61</v>
      </c>
      <c r="C45" s="101"/>
      <c r="D45" s="95"/>
      <c r="E45" s="95"/>
    </row>
    <row r="46" customFormat="false" ht="21.75" hidden="false" customHeight="true" outlineLevel="0" collapsed="false">
      <c r="B46" s="102" t="s">
        <v>304</v>
      </c>
      <c r="C46" s="101"/>
      <c r="D46" s="95"/>
      <c r="E46" s="95"/>
    </row>
    <row r="47" customFormat="false" ht="21.75" hidden="false" customHeight="true" outlineLevel="0" collapsed="false">
      <c r="B47" s="100" t="s">
        <v>305</v>
      </c>
      <c r="C47" s="101"/>
      <c r="D47" s="95"/>
      <c r="E47" s="95"/>
    </row>
    <row r="48" customFormat="false" ht="21.75" hidden="false" customHeight="true" outlineLevel="0" collapsed="false">
      <c r="B48" s="102" t="s">
        <v>306</v>
      </c>
      <c r="C48" s="101"/>
      <c r="D48" s="95"/>
      <c r="E48" s="95"/>
    </row>
    <row r="49" customFormat="false" ht="21.75" hidden="false" customHeight="true" outlineLevel="0" collapsed="false">
      <c r="B49" s="100" t="s">
        <v>307</v>
      </c>
      <c r="C49" s="101"/>
      <c r="D49" s="95"/>
      <c r="E49" s="95"/>
    </row>
  </sheetData>
  <mergeCells count="43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A16:E16"/>
    <mergeCell ref="C17:E17"/>
    <mergeCell ref="C18:E18"/>
    <mergeCell ref="C19:E19"/>
    <mergeCell ref="C20:E20"/>
    <mergeCell ref="C21:E21"/>
    <mergeCell ref="C22:E22"/>
    <mergeCell ref="C23:E23"/>
    <mergeCell ref="C24:E24"/>
    <mergeCell ref="A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A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4"/>
    <col collapsed="false" customWidth="true" hidden="false" outlineLevel="0" max="5" min="5" style="0" width="30"/>
  </cols>
  <sheetData>
    <row r="1" customFormat="false" ht="36" hidden="false" customHeight="true" outlineLevel="0" collapsed="false">
      <c r="A1" s="93" t="s">
        <v>308</v>
      </c>
      <c r="B1" s="93"/>
      <c r="C1" s="93"/>
      <c r="D1" s="93"/>
      <c r="E1" s="93"/>
    </row>
    <row r="2" customFormat="false" ht="18" hidden="false" customHeight="true" outlineLevel="0" collapsed="false">
      <c r="A2" s="2" t="s">
        <v>309</v>
      </c>
      <c r="B2" s="2"/>
      <c r="C2" s="2"/>
      <c r="D2" s="2"/>
      <c r="E2" s="2"/>
    </row>
    <row r="3" customFormat="false" ht="6.75" hidden="false" customHeight="true" outlineLevel="0" collapsed="false"/>
    <row r="4" customFormat="false" ht="21.75" hidden="false" customHeight="true" outlineLevel="0" collapsed="false">
      <c r="A4" s="3" t="s">
        <v>310</v>
      </c>
      <c r="B4" s="3"/>
      <c r="C4" s="3"/>
      <c r="D4" s="3"/>
      <c r="E4" s="3"/>
    </row>
    <row r="5" customFormat="false" ht="21.75" hidden="false" customHeight="true" outlineLevel="0" collapsed="false">
      <c r="B5" s="94" t="s">
        <v>72</v>
      </c>
      <c r="C5" s="95"/>
      <c r="D5" s="95"/>
      <c r="E5" s="95"/>
    </row>
    <row r="6" customFormat="false" ht="21.75" hidden="false" customHeight="true" outlineLevel="0" collapsed="false">
      <c r="B6" s="94" t="s">
        <v>311</v>
      </c>
      <c r="C6" s="95"/>
      <c r="D6" s="95"/>
      <c r="E6" s="95"/>
    </row>
    <row r="7" customFormat="false" ht="21.75" hidden="false" customHeight="true" outlineLevel="0" collapsed="false">
      <c r="B7" s="94" t="s">
        <v>76</v>
      </c>
      <c r="C7" s="95"/>
      <c r="D7" s="95"/>
      <c r="E7" s="95"/>
    </row>
    <row r="8" customFormat="false" ht="21.75" hidden="false" customHeight="true" outlineLevel="0" collapsed="false">
      <c r="B8" s="94" t="s">
        <v>78</v>
      </c>
      <c r="C8" s="95"/>
      <c r="D8" s="95"/>
      <c r="E8" s="95"/>
    </row>
    <row r="9" customFormat="false" ht="21.75" hidden="false" customHeight="true" outlineLevel="0" collapsed="false">
      <c r="B9" s="94" t="s">
        <v>80</v>
      </c>
      <c r="C9" s="95"/>
      <c r="D9" s="95"/>
      <c r="E9" s="95"/>
    </row>
    <row r="10" customFormat="false" ht="21.75" hidden="false" customHeight="true" outlineLevel="0" collapsed="false">
      <c r="B10" s="94" t="s">
        <v>82</v>
      </c>
      <c r="C10" s="95"/>
      <c r="D10" s="95"/>
      <c r="E10" s="95"/>
    </row>
    <row r="11" customFormat="false" ht="21.75" hidden="false" customHeight="true" outlineLevel="0" collapsed="false">
      <c r="B11" s="94" t="s">
        <v>312</v>
      </c>
      <c r="C11" s="95"/>
      <c r="D11" s="95"/>
      <c r="E11" s="95"/>
    </row>
    <row r="12" customFormat="false" ht="21.75" hidden="false" customHeight="true" outlineLevel="0" collapsed="false">
      <c r="B12" s="94" t="s">
        <v>84</v>
      </c>
      <c r="C12" s="103"/>
      <c r="D12" s="103"/>
      <c r="E12" s="103"/>
    </row>
    <row r="13" customFormat="false" ht="21.75" hidden="false" customHeight="true" outlineLevel="0" collapsed="false">
      <c r="B13" s="94" t="s">
        <v>86</v>
      </c>
      <c r="C13" s="103"/>
      <c r="D13" s="103"/>
      <c r="E13" s="103"/>
    </row>
    <row r="14" customFormat="false" ht="21.75" hidden="false" customHeight="true" outlineLevel="0" collapsed="false">
      <c r="B14" s="94" t="s">
        <v>313</v>
      </c>
      <c r="C14" s="96"/>
      <c r="D14" s="96"/>
      <c r="E14" s="96"/>
    </row>
    <row r="15" customFormat="false" ht="21.75" hidden="false" customHeight="true" outlineLevel="0" collapsed="false">
      <c r="B15" s="94" t="s">
        <v>314</v>
      </c>
      <c r="C15" s="95" t="n">
        <v>5</v>
      </c>
      <c r="D15" s="95"/>
      <c r="E15" s="95"/>
    </row>
    <row r="16" customFormat="false" ht="21.75" hidden="false" customHeight="true" outlineLevel="0" collapsed="false">
      <c r="B16" s="94" t="s">
        <v>315</v>
      </c>
      <c r="C16" s="95"/>
      <c r="D16" s="95"/>
      <c r="E16" s="95"/>
    </row>
    <row r="17" customFormat="false" ht="21.75" hidden="false" customHeight="true" outlineLevel="0" collapsed="false">
      <c r="B17" s="94" t="s">
        <v>316</v>
      </c>
      <c r="C17" s="96"/>
      <c r="D17" s="96"/>
      <c r="E17" s="96"/>
    </row>
    <row r="18" customFormat="false" ht="21.75" hidden="false" customHeight="true" outlineLevel="0" collapsed="false">
      <c r="B18" s="94" t="s">
        <v>92</v>
      </c>
      <c r="C18" s="103"/>
      <c r="D18" s="103"/>
      <c r="E18" s="103"/>
    </row>
    <row r="19" customFormat="false" ht="21.75" hidden="false" customHeight="true" outlineLevel="0" collapsed="false">
      <c r="B19" s="94" t="s">
        <v>317</v>
      </c>
      <c r="C19" s="95" t="s">
        <v>98</v>
      </c>
      <c r="D19" s="95"/>
      <c r="E19" s="95"/>
    </row>
    <row r="20" customFormat="false" ht="21.75" hidden="false" customHeight="true" outlineLevel="0" collapsed="false">
      <c r="B20" s="94" t="s">
        <v>318</v>
      </c>
      <c r="C20" s="95"/>
      <c r="D20" s="95"/>
      <c r="E20" s="95"/>
    </row>
    <row r="21" customFormat="false" ht="21.75" hidden="false" customHeight="true" outlineLevel="0" collapsed="false">
      <c r="B21" s="94" t="s">
        <v>97</v>
      </c>
      <c r="C21" s="95" t="s">
        <v>98</v>
      </c>
      <c r="D21" s="95"/>
      <c r="E21" s="95"/>
    </row>
    <row r="22" customFormat="false" ht="21.75" hidden="false" customHeight="true" outlineLevel="0" collapsed="false">
      <c r="B22" s="94" t="s">
        <v>109</v>
      </c>
      <c r="C22" s="95"/>
      <c r="D22" s="95"/>
      <c r="E22" s="95"/>
    </row>
  </sheetData>
  <mergeCells count="21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36" hidden="false" customHeight="true" outlineLevel="0" collapsed="false">
      <c r="A1" s="93" t="s">
        <v>319</v>
      </c>
      <c r="B1" s="93"/>
      <c r="C1" s="93"/>
      <c r="D1" s="93"/>
      <c r="E1" s="93"/>
      <c r="F1" s="93"/>
      <c r="G1" s="93"/>
      <c r="H1" s="93"/>
      <c r="I1" s="93"/>
    </row>
    <row r="2" customFormat="false" ht="18" hidden="false" customHeight="true" outlineLevel="0" collapsed="false">
      <c r="A2" s="2" t="s">
        <v>320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104" t="s">
        <v>321</v>
      </c>
      <c r="B3" s="104"/>
      <c r="C3" s="104" t="s">
        <v>322</v>
      </c>
      <c r="D3" s="104"/>
      <c r="E3" s="104" t="s">
        <v>323</v>
      </c>
      <c r="F3" s="104"/>
      <c r="G3" s="104" t="s">
        <v>324</v>
      </c>
      <c r="H3" s="104"/>
    </row>
    <row r="4" customFormat="false" ht="24" hidden="false" customHeight="true" outlineLevel="0" collapsed="false">
      <c r="A4" s="105" t="n">
        <f aca="false">IFERROR(SUM(D8:D200),0)</f>
        <v>0</v>
      </c>
      <c r="B4" s="105"/>
      <c r="C4" s="105" t="n">
        <f aca="false">IFERROR(SUM(F8:F200),0)</f>
        <v>0</v>
      </c>
      <c r="D4" s="105"/>
      <c r="E4" s="105" t="n">
        <f aca="false">IFERROR(C4-E4,0)</f>
        <v>0</v>
      </c>
      <c r="F4" s="105"/>
      <c r="G4" s="106" t="n">
        <f aca="false">IFERROR(COUNTIF(H8:H200,"&gt;0"),0)</f>
        <v>0</v>
      </c>
      <c r="H4" s="106"/>
    </row>
    <row r="5" customFormat="false" ht="3.75" hidden="false" customHeight="true" outlineLevel="0" collapsed="false"/>
    <row r="6" customFormat="false" ht="25.5" hidden="false" customHeight="true" outlineLevel="0" collapsed="false">
      <c r="A6" s="107" t="s">
        <v>325</v>
      </c>
      <c r="B6" s="107" t="s">
        <v>104</v>
      </c>
      <c r="C6" s="107" t="s">
        <v>326</v>
      </c>
      <c r="D6" s="107" t="s">
        <v>327</v>
      </c>
      <c r="E6" s="107" t="s">
        <v>328</v>
      </c>
      <c r="F6" s="107" t="s">
        <v>329</v>
      </c>
      <c r="G6" s="107" t="s">
        <v>330</v>
      </c>
      <c r="H6" s="107" t="s">
        <v>331</v>
      </c>
      <c r="I6" s="107" t="s">
        <v>332</v>
      </c>
    </row>
    <row r="7" customFormat="false" ht="21.75" hidden="false" customHeight="true" outlineLevel="0" collapsed="false">
      <c r="A7" s="108" t="n">
        <v>1</v>
      </c>
      <c r="B7" s="101"/>
      <c r="C7" s="109"/>
      <c r="E7" s="110" t="s">
        <v>94</v>
      </c>
      <c r="F7" s="111"/>
      <c r="G7" s="112"/>
      <c r="H7" s="113" t="str">
        <f aca="false">IFERROR(IF(G7="","",MAX(0,G7-C7)),"")</f>
        <v/>
      </c>
      <c r="I7" s="101"/>
    </row>
    <row r="8" customFormat="false" ht="21.75" hidden="false" customHeight="true" outlineLevel="0" collapsed="false">
      <c r="A8" s="114" t="n">
        <v>2</v>
      </c>
      <c r="B8" s="101"/>
      <c r="C8" s="109"/>
      <c r="E8" s="110" t="s">
        <v>94</v>
      </c>
      <c r="F8" s="111"/>
      <c r="G8" s="112"/>
      <c r="H8" s="113" t="str">
        <f aca="false">IFERROR(IF(G8="","",MAX(0,G8-C8)),"")</f>
        <v/>
      </c>
      <c r="I8" s="101"/>
    </row>
    <row r="9" customFormat="false" ht="21.75" hidden="false" customHeight="true" outlineLevel="0" collapsed="false">
      <c r="A9" s="108" t="n">
        <v>3</v>
      </c>
      <c r="B9" s="101"/>
      <c r="C9" s="109"/>
      <c r="E9" s="110" t="s">
        <v>94</v>
      </c>
      <c r="F9" s="111"/>
      <c r="G9" s="112"/>
      <c r="H9" s="113" t="str">
        <f aca="false">IFERROR(IF(G9="","",MAX(0,G9-C9)),"")</f>
        <v/>
      </c>
      <c r="I9" s="101"/>
    </row>
    <row r="10" customFormat="false" ht="21.75" hidden="false" customHeight="true" outlineLevel="0" collapsed="false">
      <c r="A10" s="114" t="n">
        <v>4</v>
      </c>
      <c r="B10" s="101"/>
      <c r="C10" s="109"/>
      <c r="E10" s="110" t="s">
        <v>94</v>
      </c>
      <c r="F10" s="111"/>
      <c r="G10" s="112"/>
      <c r="H10" s="113" t="str">
        <f aca="false">IFERROR(IF(G10="","",MAX(0,G10-C10)),"")</f>
        <v/>
      </c>
      <c r="I10" s="101"/>
    </row>
    <row r="11" customFormat="false" ht="21.75" hidden="false" customHeight="true" outlineLevel="0" collapsed="false">
      <c r="A11" s="108" t="n">
        <v>5</v>
      </c>
      <c r="B11" s="101"/>
      <c r="C11" s="109"/>
      <c r="E11" s="110" t="s">
        <v>94</v>
      </c>
      <c r="F11" s="111"/>
      <c r="G11" s="112"/>
      <c r="H11" s="113" t="str">
        <f aca="false">IFERROR(IF(G11="","",MAX(0,G11-C11)),"")</f>
        <v/>
      </c>
      <c r="I11" s="101"/>
    </row>
    <row r="12" customFormat="false" ht="21.75" hidden="false" customHeight="true" outlineLevel="0" collapsed="false">
      <c r="A12" s="114" t="n">
        <v>6</v>
      </c>
      <c r="B12" s="101"/>
      <c r="C12" s="109"/>
      <c r="E12" s="110" t="s">
        <v>94</v>
      </c>
      <c r="F12" s="111"/>
      <c r="G12" s="112"/>
      <c r="H12" s="113" t="str">
        <f aca="false">IFERROR(IF(G12="","",MAX(0,G12-C12)),"")</f>
        <v/>
      </c>
      <c r="I12" s="101"/>
    </row>
    <row r="13" customFormat="false" ht="21.75" hidden="false" customHeight="true" outlineLevel="0" collapsed="false">
      <c r="A13" s="108" t="n">
        <v>7</v>
      </c>
      <c r="B13" s="101"/>
      <c r="C13" s="109"/>
      <c r="E13" s="110" t="s">
        <v>94</v>
      </c>
      <c r="F13" s="111"/>
      <c r="G13" s="112"/>
      <c r="H13" s="113" t="str">
        <f aca="false">IFERROR(IF(G13="","",MAX(0,G13-C13)),"")</f>
        <v/>
      </c>
      <c r="I13" s="101"/>
    </row>
    <row r="14" customFormat="false" ht="21.75" hidden="false" customHeight="true" outlineLevel="0" collapsed="false">
      <c r="A14" s="114" t="n">
        <v>8</v>
      </c>
      <c r="B14" s="101"/>
      <c r="C14" s="109"/>
      <c r="E14" s="110" t="s">
        <v>94</v>
      </c>
      <c r="F14" s="111"/>
      <c r="G14" s="112"/>
      <c r="H14" s="113" t="str">
        <f aca="false">IFERROR(IF(G14="","",MAX(0,G14-C14)),"")</f>
        <v/>
      </c>
      <c r="I14" s="101"/>
    </row>
    <row r="15" customFormat="false" ht="21.75" hidden="false" customHeight="true" outlineLevel="0" collapsed="false">
      <c r="A15" s="108" t="n">
        <v>9</v>
      </c>
      <c r="B15" s="101"/>
      <c r="C15" s="109"/>
      <c r="E15" s="110"/>
      <c r="F15" s="111"/>
      <c r="G15" s="112"/>
      <c r="H15" s="113" t="str">
        <f aca="false">IFERROR(IF(G15="","",MAX(0,G15-C15)),"")</f>
        <v/>
      </c>
      <c r="I15" s="101"/>
    </row>
    <row r="16" customFormat="false" ht="21.75" hidden="false" customHeight="true" outlineLevel="0" collapsed="false">
      <c r="A16" s="114" t="n">
        <v>10</v>
      </c>
      <c r="B16" s="101"/>
      <c r="C16" s="109"/>
      <c r="E16" s="110"/>
      <c r="F16" s="111"/>
      <c r="G16" s="112"/>
      <c r="H16" s="113" t="str">
        <f aca="false">IFERROR(IF(G16="","",MAX(0,G16-C16)),"")</f>
        <v/>
      </c>
      <c r="I16" s="101"/>
    </row>
    <row r="17" customFormat="false" ht="21.75" hidden="false" customHeight="true" outlineLevel="0" collapsed="false">
      <c r="A17" s="108" t="n">
        <v>11</v>
      </c>
      <c r="B17" s="101"/>
      <c r="C17" s="109"/>
      <c r="E17" s="110"/>
      <c r="F17" s="111"/>
      <c r="G17" s="112"/>
      <c r="H17" s="113" t="str">
        <f aca="false">IFERROR(IF(G17="","",MAX(0,G17-C17)),"")</f>
        <v/>
      </c>
      <c r="I17" s="101"/>
    </row>
    <row r="18" customFormat="false" ht="21.75" hidden="false" customHeight="true" outlineLevel="0" collapsed="false">
      <c r="A18" s="114" t="n">
        <v>12</v>
      </c>
      <c r="B18" s="101"/>
      <c r="C18" s="109"/>
      <c r="E18" s="110"/>
      <c r="F18" s="111"/>
      <c r="G18" s="112"/>
      <c r="H18" s="113" t="str">
        <f aca="false">IFERROR(IF(G18="","",MAX(0,G18-C18)),"")</f>
        <v/>
      </c>
      <c r="I18" s="101"/>
    </row>
  </sheetData>
  <mergeCells count="10"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</mergeCells>
  <dataValidations count="1">
    <dataValidation allowBlank="true" errorStyle="stop" operator="between" showDropDown="false" showErrorMessage="false" showInputMessage="false" sqref="E7:E18" type="list">
      <formula1>"Да,Не,Частично"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36" hidden="false" customHeight="true" outlineLevel="0" collapsed="false">
      <c r="A1" s="93" t="s">
        <v>333</v>
      </c>
      <c r="B1" s="93"/>
      <c r="C1" s="93"/>
      <c r="D1" s="93"/>
      <c r="E1" s="93"/>
      <c r="F1" s="93"/>
      <c r="G1" s="93"/>
    </row>
    <row r="2" customFormat="false" ht="18" hidden="false" customHeight="true" outlineLevel="0" collapsed="false">
      <c r="A2" s="2" t="s">
        <v>334</v>
      </c>
      <c r="B2" s="2"/>
      <c r="C2" s="2"/>
      <c r="D2" s="2"/>
      <c r="E2" s="2"/>
      <c r="F2" s="2"/>
      <c r="G2" s="2"/>
    </row>
    <row r="3" customFormat="false" ht="24" hidden="false" customHeight="true" outlineLevel="0" collapsed="false">
      <c r="A3" s="104" t="s">
        <v>335</v>
      </c>
      <c r="B3" s="104"/>
      <c r="C3" s="104"/>
      <c r="D3" s="104" t="s">
        <v>336</v>
      </c>
      <c r="E3" s="104"/>
      <c r="F3" s="104"/>
      <c r="G3" s="115" t="s">
        <v>337</v>
      </c>
    </row>
    <row r="4" customFormat="false" ht="25.5" hidden="false" customHeight="true" outlineLevel="0" collapsed="false">
      <c r="A4" s="116" t="n">
        <f aca="false">IFERROR(SUM(D8:D200),0)</f>
        <v>0</v>
      </c>
      <c r="B4" s="116"/>
      <c r="C4" s="116"/>
      <c r="D4" s="105" t="n">
        <f aca="false">IFERROR(SUMIF(G8:G200,"ЕСС",D8:D200),0)</f>
        <v>0</v>
      </c>
      <c r="E4" s="105"/>
      <c r="F4" s="105"/>
      <c r="G4" s="117" t="n">
        <f aca="false">IFERROR(SUMIF(G8:G200,"Ремонт",D8:D200),0)</f>
        <v>0</v>
      </c>
    </row>
    <row r="5" customFormat="false" ht="3.75" hidden="false" customHeight="true" outlineLevel="0" collapsed="false"/>
    <row r="6" customFormat="false" ht="25.5" hidden="false" customHeight="true" outlineLevel="0" collapsed="false">
      <c r="A6" s="118" t="s">
        <v>325</v>
      </c>
      <c r="B6" s="118" t="s">
        <v>137</v>
      </c>
      <c r="C6" s="118" t="s">
        <v>138</v>
      </c>
      <c r="D6" s="118" t="s">
        <v>338</v>
      </c>
      <c r="E6" s="118" t="s">
        <v>339</v>
      </c>
      <c r="F6" s="118" t="s">
        <v>340</v>
      </c>
      <c r="G6" s="118" t="s">
        <v>140</v>
      </c>
    </row>
    <row r="7" customFormat="false" ht="19.5" hidden="false" customHeight="true" outlineLevel="0" collapsed="false">
      <c r="A7" s="119" t="n">
        <v>1</v>
      </c>
      <c r="B7" s="109"/>
      <c r="C7" s="101"/>
      <c r="D7" s="111"/>
      <c r="E7" s="120" t="n">
        <f aca="false">IFERROR(D7*1.95583,"")</f>
        <v>0</v>
      </c>
      <c r="F7" s="101"/>
      <c r="G7" s="101"/>
    </row>
    <row r="8" customFormat="false" ht="19.5" hidden="false" customHeight="true" outlineLevel="0" collapsed="false">
      <c r="A8" s="121" t="n">
        <v>2</v>
      </c>
      <c r="B8" s="109"/>
      <c r="C8" s="101"/>
      <c r="D8" s="111"/>
      <c r="E8" s="120" t="n">
        <f aca="false">IFERROR(D8*1.95583,"")</f>
        <v>0</v>
      </c>
      <c r="F8" s="101"/>
      <c r="G8" s="101"/>
    </row>
    <row r="9" customFormat="false" ht="19.5" hidden="false" customHeight="true" outlineLevel="0" collapsed="false">
      <c r="A9" s="119" t="n">
        <v>3</v>
      </c>
      <c r="B9" s="109"/>
      <c r="C9" s="101"/>
      <c r="D9" s="111"/>
      <c r="E9" s="120" t="n">
        <f aca="false">IFERROR(D9*1.95583,"")</f>
        <v>0</v>
      </c>
      <c r="F9" s="101"/>
      <c r="G9" s="101"/>
    </row>
    <row r="10" customFormat="false" ht="19.5" hidden="false" customHeight="true" outlineLevel="0" collapsed="false">
      <c r="A10" s="121" t="n">
        <v>4</v>
      </c>
      <c r="B10" s="109"/>
      <c r="C10" s="101"/>
      <c r="D10" s="111"/>
      <c r="E10" s="120" t="n">
        <f aca="false">IFERROR(D10*1.95583,"")</f>
        <v>0</v>
      </c>
      <c r="F10" s="101"/>
      <c r="G10" s="101"/>
    </row>
    <row r="11" customFormat="false" ht="19.5" hidden="false" customHeight="true" outlineLevel="0" collapsed="false">
      <c r="A11" s="119" t="n">
        <v>5</v>
      </c>
      <c r="B11" s="109"/>
      <c r="C11" s="101"/>
      <c r="D11" s="111"/>
      <c r="E11" s="120" t="n">
        <f aca="false">IFERROR(D11*1.95583,"")</f>
        <v>0</v>
      </c>
      <c r="F11" s="101"/>
      <c r="G11" s="101"/>
    </row>
    <row r="12" customFormat="false" ht="19.5" hidden="false" customHeight="true" outlineLevel="0" collapsed="false">
      <c r="A12" s="121" t="n">
        <v>6</v>
      </c>
      <c r="B12" s="109"/>
      <c r="C12" s="101"/>
      <c r="D12" s="111"/>
      <c r="E12" s="120" t="n">
        <f aca="false">IFERROR(D12*1.95583,"")</f>
        <v>0</v>
      </c>
      <c r="F12" s="101"/>
      <c r="G12" s="101"/>
    </row>
    <row r="13" customFormat="false" ht="19.5" hidden="false" customHeight="true" outlineLevel="0" collapsed="false">
      <c r="A13" s="119" t="n">
        <v>7</v>
      </c>
      <c r="B13" s="109"/>
      <c r="C13" s="101"/>
      <c r="D13" s="111"/>
      <c r="E13" s="120" t="n">
        <f aca="false">IFERROR(D13*1.95583,"")</f>
        <v>0</v>
      </c>
      <c r="F13" s="101"/>
      <c r="G13" s="101"/>
    </row>
    <row r="14" customFormat="false" ht="19.5" hidden="false" customHeight="true" outlineLevel="0" collapsed="false">
      <c r="A14" s="121" t="n">
        <v>8</v>
      </c>
      <c r="B14" s="109"/>
      <c r="C14" s="101"/>
      <c r="D14" s="111"/>
      <c r="E14" s="120" t="n">
        <f aca="false">IFERROR(D14*1.95583,"")</f>
        <v>0</v>
      </c>
      <c r="F14" s="101"/>
      <c r="G14" s="101"/>
    </row>
    <row r="15" customFormat="false" ht="19.5" hidden="false" customHeight="true" outlineLevel="0" collapsed="false">
      <c r="A15" s="119" t="n">
        <v>9</v>
      </c>
      <c r="B15" s="109"/>
      <c r="C15" s="101"/>
      <c r="D15" s="111"/>
      <c r="E15" s="120" t="n">
        <f aca="false">IFERROR(D15*1.95583,"")</f>
        <v>0</v>
      </c>
      <c r="F15" s="101"/>
      <c r="G15" s="101"/>
    </row>
    <row r="16" customFormat="false" ht="19.5" hidden="false" customHeight="true" outlineLevel="0" collapsed="false">
      <c r="A16" s="121" t="n">
        <v>10</v>
      </c>
      <c r="B16" s="109"/>
      <c r="C16" s="101"/>
      <c r="D16" s="111"/>
      <c r="E16" s="120" t="n">
        <f aca="false">IFERROR(D16*1.95583,"")</f>
        <v>0</v>
      </c>
      <c r="F16" s="101"/>
      <c r="G16" s="101"/>
    </row>
    <row r="17" customFormat="false" ht="19.5" hidden="false" customHeight="true" outlineLevel="0" collapsed="false">
      <c r="A17" s="119" t="n">
        <v>11</v>
      </c>
      <c r="B17" s="109"/>
      <c r="C17" s="101"/>
      <c r="D17" s="111"/>
      <c r="E17" s="120" t="n">
        <f aca="false">IFERROR(D17*1.95583,"")</f>
        <v>0</v>
      </c>
      <c r="F17" s="101"/>
      <c r="G17" s="101"/>
    </row>
    <row r="18" customFormat="false" ht="19.5" hidden="false" customHeight="true" outlineLevel="0" collapsed="false">
      <c r="A18" s="121" t="n">
        <v>12</v>
      </c>
      <c r="B18" s="109"/>
      <c r="C18" s="101"/>
      <c r="D18" s="111"/>
      <c r="E18" s="120" t="n">
        <f aca="false">IFERROR(D18*1.95583,"")</f>
        <v>0</v>
      </c>
      <c r="F18" s="101"/>
      <c r="G18" s="101"/>
    </row>
    <row r="19" customFormat="false" ht="19.5" hidden="false" customHeight="true" outlineLevel="0" collapsed="false">
      <c r="A19" s="119" t="n">
        <v>13</v>
      </c>
      <c r="B19" s="109"/>
      <c r="C19" s="101"/>
      <c r="D19" s="111"/>
      <c r="E19" s="120" t="n">
        <f aca="false">IFERROR(D19*1.95583,"")</f>
        <v>0</v>
      </c>
      <c r="F19" s="101"/>
      <c r="G19" s="101"/>
    </row>
    <row r="20" customFormat="false" ht="19.5" hidden="false" customHeight="true" outlineLevel="0" collapsed="false">
      <c r="A20" s="121" t="n">
        <v>14</v>
      </c>
      <c r="B20" s="109"/>
      <c r="C20" s="101"/>
      <c r="D20" s="111"/>
      <c r="E20" s="120" t="n">
        <f aca="false">IFERROR(D20*1.95583,"")</f>
        <v>0</v>
      </c>
      <c r="F20" s="101"/>
      <c r="G20" s="101"/>
    </row>
    <row r="21" customFormat="false" ht="19.5" hidden="false" customHeight="true" outlineLevel="0" collapsed="false">
      <c r="A21" s="119" t="n">
        <v>15</v>
      </c>
      <c r="B21" s="109"/>
      <c r="C21" s="101"/>
      <c r="D21" s="111"/>
      <c r="E21" s="120" t="n">
        <f aca="false">IFERROR(D21*1.95583,"")</f>
        <v>0</v>
      </c>
      <c r="F21" s="101"/>
      <c r="G21" s="101"/>
    </row>
    <row r="22" customFormat="false" ht="19.5" hidden="false" customHeight="true" outlineLevel="0" collapsed="false">
      <c r="A22" s="121" t="n">
        <v>16</v>
      </c>
      <c r="B22" s="109"/>
      <c r="C22" s="101"/>
      <c r="D22" s="111"/>
      <c r="E22" s="120" t="n">
        <f aca="false">IFERROR(D22*1.95583,"")</f>
        <v>0</v>
      </c>
      <c r="F22" s="101"/>
      <c r="G22" s="101"/>
    </row>
    <row r="23" customFormat="false" ht="19.5" hidden="false" customHeight="true" outlineLevel="0" collapsed="false">
      <c r="A23" s="119" t="n">
        <v>17</v>
      </c>
      <c r="B23" s="109"/>
      <c r="C23" s="101"/>
      <c r="D23" s="111"/>
      <c r="E23" s="120" t="n">
        <f aca="false">IFERROR(D23*1.95583,"")</f>
        <v>0</v>
      </c>
      <c r="F23" s="101"/>
      <c r="G23" s="101"/>
    </row>
    <row r="24" customFormat="false" ht="19.5" hidden="false" customHeight="true" outlineLevel="0" collapsed="false">
      <c r="A24" s="121" t="n">
        <v>18</v>
      </c>
      <c r="B24" s="109"/>
      <c r="C24" s="101"/>
      <c r="D24" s="111"/>
      <c r="E24" s="120" t="n">
        <f aca="false">IFERROR(D24*1.95583,"")</f>
        <v>0</v>
      </c>
      <c r="F24" s="101"/>
      <c r="G24" s="101"/>
    </row>
  </sheetData>
  <mergeCells count="6">
    <mergeCell ref="A1:G1"/>
    <mergeCell ref="A2:G2"/>
    <mergeCell ref="A3:C3"/>
    <mergeCell ref="D3:F3"/>
    <mergeCell ref="A4:C4"/>
    <mergeCell ref="D4:F4"/>
  </mergeCells>
  <dataValidations count="1">
    <dataValidation allowBlank="true" errorStyle="stop" operator="between" showDropDown="false" showErrorMessage="false" showInputMessage="false" sqref="G7:G24" type="list">
      <formula1>"ЕСС,Данък имот,Застраховка,Ел. енергия,Вода,Отопление,Интернет/ТВ,Ремонт,Обзавеждане,Управление,Почистване,Административно,Друго"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8" min="5" style="0" width="12"/>
    <col collapsed="false" customWidth="true" hidden="false" outlineLevel="0" max="9" min="9" style="0" width="16"/>
  </cols>
  <sheetData>
    <row r="1" customFormat="false" ht="36" hidden="false" customHeight="true" outlineLevel="0" collapsed="false">
      <c r="A1" s="93" t="s">
        <v>341</v>
      </c>
      <c r="B1" s="93"/>
      <c r="C1" s="93"/>
      <c r="D1" s="93"/>
      <c r="E1" s="93"/>
      <c r="F1" s="93"/>
      <c r="G1" s="93"/>
      <c r="H1" s="93"/>
      <c r="I1" s="93"/>
    </row>
    <row r="2" customFormat="false" ht="18" hidden="false" customHeight="true" outlineLevel="0" collapsed="false">
      <c r="A2" s="2" t="s">
        <v>342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104" t="s">
        <v>343</v>
      </c>
      <c r="B3" s="104"/>
      <c r="C3" s="104"/>
      <c r="D3" s="104" t="s">
        <v>344</v>
      </c>
      <c r="E3" s="104"/>
      <c r="F3" s="104"/>
      <c r="G3" s="104" t="s">
        <v>345</v>
      </c>
      <c r="H3" s="104"/>
      <c r="I3" s="104"/>
    </row>
    <row r="4" customFormat="false" ht="24" hidden="false" customHeight="true" outlineLevel="0" collapsed="false">
      <c r="A4" s="116" t="n">
        <f aca="false">IFERROR(SUM(E8:E200),0)</f>
        <v>0</v>
      </c>
      <c r="B4" s="116"/>
      <c r="C4" s="116"/>
      <c r="D4" s="116" t="n">
        <f aca="false">IFERROR(SUM(F8:F200),0)</f>
        <v>0</v>
      </c>
      <c r="E4" s="116"/>
      <c r="F4" s="116"/>
      <c r="G4" s="116" t="n">
        <f aca="false">IFERROR(SUM(G8:G200),0)</f>
        <v>0</v>
      </c>
      <c r="H4" s="116"/>
      <c r="I4" s="116"/>
    </row>
    <row r="5" customFormat="false" ht="3.75" hidden="false" customHeight="true" outlineLevel="0" collapsed="false"/>
    <row r="6" customFormat="false" ht="25.5" hidden="false" customHeight="true" outlineLevel="0" collapsed="false">
      <c r="A6" s="54" t="s">
        <v>325</v>
      </c>
      <c r="B6" s="54" t="s">
        <v>137</v>
      </c>
      <c r="C6" s="54" t="s">
        <v>138</v>
      </c>
      <c r="D6" s="54" t="s">
        <v>178</v>
      </c>
      <c r="E6" s="54" t="s">
        <v>346</v>
      </c>
      <c r="F6" s="54" t="s">
        <v>180</v>
      </c>
      <c r="G6" s="54" t="s">
        <v>181</v>
      </c>
      <c r="H6" s="54" t="s">
        <v>182</v>
      </c>
      <c r="I6" s="54" t="s">
        <v>109</v>
      </c>
    </row>
    <row r="7" customFormat="false" ht="21.75" hidden="false" customHeight="true" outlineLevel="0" collapsed="false">
      <c r="A7" s="122" t="n">
        <v>1</v>
      </c>
      <c r="B7" s="109"/>
      <c r="C7" s="101"/>
      <c r="D7" s="101"/>
      <c r="E7" s="111"/>
      <c r="F7" s="111"/>
      <c r="G7" s="123" t="n">
        <f aca="false">IFERROR(E7+F7,0)</f>
        <v>0</v>
      </c>
      <c r="H7" s="112"/>
      <c r="I7" s="101"/>
    </row>
    <row r="8" customFormat="false" ht="21.75" hidden="false" customHeight="true" outlineLevel="0" collapsed="false">
      <c r="A8" s="124" t="n">
        <v>2</v>
      </c>
      <c r="B8" s="109"/>
      <c r="C8" s="101"/>
      <c r="D8" s="101"/>
      <c r="E8" s="111"/>
      <c r="F8" s="111"/>
      <c r="G8" s="123" t="n">
        <f aca="false">IFERROR(E8+F8,0)</f>
        <v>0</v>
      </c>
      <c r="H8" s="112"/>
      <c r="I8" s="101"/>
    </row>
    <row r="9" customFormat="false" ht="21.75" hidden="false" customHeight="true" outlineLevel="0" collapsed="false">
      <c r="A9" s="122" t="n">
        <v>3</v>
      </c>
      <c r="B9" s="109"/>
      <c r="C9" s="101"/>
      <c r="D9" s="101"/>
      <c r="E9" s="111"/>
      <c r="F9" s="111"/>
      <c r="G9" s="123" t="n">
        <f aca="false">IFERROR(E9+F9,0)</f>
        <v>0</v>
      </c>
      <c r="H9" s="112"/>
      <c r="I9" s="101"/>
    </row>
    <row r="10" customFormat="false" ht="21.75" hidden="false" customHeight="true" outlineLevel="0" collapsed="false">
      <c r="A10" s="124" t="n">
        <v>4</v>
      </c>
      <c r="B10" s="109"/>
      <c r="C10" s="101"/>
      <c r="D10" s="101"/>
      <c r="E10" s="111"/>
      <c r="F10" s="111"/>
      <c r="G10" s="123" t="n">
        <f aca="false">IFERROR(E10+F10,0)</f>
        <v>0</v>
      </c>
      <c r="H10" s="112"/>
      <c r="I10" s="101"/>
    </row>
    <row r="11" customFormat="false" ht="21.75" hidden="false" customHeight="true" outlineLevel="0" collapsed="false">
      <c r="A11" s="122" t="n">
        <v>5</v>
      </c>
      <c r="B11" s="109"/>
      <c r="C11" s="101"/>
      <c r="D11" s="101"/>
      <c r="E11" s="111"/>
      <c r="F11" s="111"/>
      <c r="G11" s="123" t="n">
        <f aca="false">IFERROR(E11+F11,0)</f>
        <v>0</v>
      </c>
      <c r="H11" s="112"/>
      <c r="I11" s="101"/>
    </row>
    <row r="12" customFormat="false" ht="21.75" hidden="false" customHeight="true" outlineLevel="0" collapsed="false">
      <c r="A12" s="124" t="n">
        <v>6</v>
      </c>
      <c r="B12" s="109"/>
      <c r="C12" s="101"/>
      <c r="D12" s="101"/>
      <c r="E12" s="111"/>
      <c r="F12" s="111"/>
      <c r="G12" s="123" t="n">
        <f aca="false">IFERROR(E12+F12,0)</f>
        <v>0</v>
      </c>
      <c r="H12" s="112"/>
      <c r="I12" s="101"/>
    </row>
    <row r="13" customFormat="false" ht="21.75" hidden="false" customHeight="true" outlineLevel="0" collapsed="false">
      <c r="A13" s="122" t="n">
        <v>7</v>
      </c>
      <c r="B13" s="109"/>
      <c r="C13" s="101"/>
      <c r="D13" s="101"/>
      <c r="E13" s="111"/>
      <c r="F13" s="111"/>
      <c r="G13" s="123" t="n">
        <f aca="false">IFERROR(E13+F13,0)</f>
        <v>0</v>
      </c>
      <c r="H13" s="112"/>
      <c r="I13" s="101"/>
    </row>
    <row r="14" customFormat="false" ht="21.75" hidden="false" customHeight="true" outlineLevel="0" collapsed="false">
      <c r="A14" s="124" t="n">
        <v>8</v>
      </c>
      <c r="B14" s="109"/>
      <c r="C14" s="101"/>
      <c r="D14" s="101"/>
      <c r="E14" s="111"/>
      <c r="F14" s="111"/>
      <c r="G14" s="123" t="n">
        <f aca="false">IFERROR(E14+F14,0)</f>
        <v>0</v>
      </c>
      <c r="H14" s="112"/>
      <c r="I14" s="101"/>
    </row>
    <row r="15" customFormat="false" ht="21.75" hidden="false" customHeight="true" outlineLevel="0" collapsed="false">
      <c r="A15" s="122" t="n">
        <v>9</v>
      </c>
      <c r="B15" s="109"/>
      <c r="C15" s="101"/>
      <c r="D15" s="101"/>
      <c r="E15" s="111"/>
      <c r="F15" s="111"/>
      <c r="G15" s="123" t="n">
        <f aca="false">IFERROR(E15+F15,0)</f>
        <v>0</v>
      </c>
      <c r="H15" s="112"/>
      <c r="I15" s="101"/>
    </row>
    <row r="16" customFormat="false" ht="21.75" hidden="false" customHeight="true" outlineLevel="0" collapsed="false">
      <c r="A16" s="124" t="n">
        <v>10</v>
      </c>
      <c r="B16" s="109"/>
      <c r="C16" s="101"/>
      <c r="D16" s="101"/>
      <c r="E16" s="111"/>
      <c r="F16" s="111"/>
      <c r="G16" s="123" t="n">
        <f aca="false">IFERROR(E16+F16,0)</f>
        <v>0</v>
      </c>
      <c r="H16" s="112"/>
      <c r="I16" s="101"/>
    </row>
    <row r="17" customFormat="false" ht="21.75" hidden="false" customHeight="true" outlineLevel="0" collapsed="false">
      <c r="A17" s="122" t="n">
        <v>11</v>
      </c>
      <c r="B17" s="109"/>
      <c r="C17" s="101"/>
      <c r="D17" s="101"/>
      <c r="E17" s="111"/>
      <c r="F17" s="111"/>
      <c r="G17" s="123" t="n">
        <f aca="false">IFERROR(E17+F17,0)</f>
        <v>0</v>
      </c>
      <c r="H17" s="112"/>
      <c r="I17" s="101"/>
    </row>
    <row r="18" customFormat="false" ht="21.75" hidden="false" customHeight="true" outlineLevel="0" collapsed="false">
      <c r="A18" s="124" t="n">
        <v>12</v>
      </c>
      <c r="B18" s="109"/>
      <c r="C18" s="101"/>
      <c r="D18" s="101"/>
      <c r="E18" s="111"/>
      <c r="F18" s="111"/>
      <c r="G18" s="123" t="n">
        <f aca="false">IFERROR(E18+F18,0)</f>
        <v>0</v>
      </c>
      <c r="H18" s="112"/>
      <c r="I18" s="101"/>
    </row>
  </sheetData>
  <mergeCells count="8">
    <mergeCell ref="A1:I1"/>
    <mergeCell ref="A2:I2"/>
    <mergeCell ref="A3:C3"/>
    <mergeCell ref="D3:F3"/>
    <mergeCell ref="G3:I3"/>
    <mergeCell ref="A4:C4"/>
    <mergeCell ref="D4:F4"/>
    <mergeCell ref="G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16"/>
  </cols>
  <sheetData>
    <row r="1" customFormat="false" ht="36" hidden="false" customHeight="true" outlineLevel="0" collapsed="false">
      <c r="A1" s="93" t="s">
        <v>347</v>
      </c>
      <c r="B1" s="93"/>
      <c r="C1" s="93"/>
      <c r="D1" s="93"/>
      <c r="E1" s="93"/>
      <c r="F1" s="93"/>
      <c r="G1" s="93"/>
      <c r="H1" s="93"/>
      <c r="I1" s="93"/>
    </row>
    <row r="2" customFormat="false" ht="18" hidden="false" customHeight="true" outlineLevel="0" collapsed="false">
      <c r="A2" s="2" t="s">
        <v>348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104" t="s">
        <v>349</v>
      </c>
      <c r="B3" s="104"/>
      <c r="C3" s="104"/>
      <c r="D3" s="104"/>
      <c r="E3" s="104"/>
      <c r="F3" s="104"/>
    </row>
    <row r="4" customFormat="false" ht="25.5" hidden="false" customHeight="true" outlineLevel="0" collapsed="false">
      <c r="A4" s="125" t="n">
        <f aca="false">IFERROR(SUM(G8:G200),0)</f>
        <v>0</v>
      </c>
      <c r="B4" s="125"/>
      <c r="C4" s="125"/>
      <c r="D4" s="125"/>
      <c r="E4" s="125"/>
      <c r="F4" s="125"/>
    </row>
    <row r="5" customFormat="false" ht="3.75" hidden="false" customHeight="true" outlineLevel="0" collapsed="false"/>
    <row r="6" customFormat="false" ht="25.5" hidden="false" customHeight="true" outlineLevel="0" collapsed="false">
      <c r="A6" s="66" t="s">
        <v>325</v>
      </c>
      <c r="B6" s="66" t="s">
        <v>137</v>
      </c>
      <c r="C6" s="66" t="s">
        <v>213</v>
      </c>
      <c r="D6" s="66" t="s">
        <v>214</v>
      </c>
      <c r="E6" s="66" t="s">
        <v>215</v>
      </c>
      <c r="F6" s="66" t="s">
        <v>216</v>
      </c>
      <c r="G6" s="66" t="s">
        <v>181</v>
      </c>
      <c r="H6" s="66" t="s">
        <v>350</v>
      </c>
      <c r="I6" s="66" t="s">
        <v>182</v>
      </c>
    </row>
    <row r="7" customFormat="false" ht="19.5" hidden="false" customHeight="true" outlineLevel="0" collapsed="false">
      <c r="A7" s="126" t="n">
        <v>1</v>
      </c>
      <c r="B7" s="109"/>
      <c r="C7" s="101"/>
      <c r="D7" s="101"/>
      <c r="E7" s="110"/>
      <c r="F7" s="111"/>
      <c r="G7" s="127" t="n">
        <f aca="false">IFERROR(E7*F7,0)</f>
        <v>0</v>
      </c>
      <c r="H7" s="110"/>
      <c r="I7" s="112"/>
    </row>
    <row r="8" customFormat="false" ht="19.5" hidden="false" customHeight="true" outlineLevel="0" collapsed="false">
      <c r="A8" s="128" t="n">
        <v>2</v>
      </c>
      <c r="B8" s="109"/>
      <c r="C8" s="101"/>
      <c r="D8" s="101"/>
      <c r="E8" s="110"/>
      <c r="F8" s="111"/>
      <c r="G8" s="127" t="n">
        <f aca="false">IFERROR(E8*F8,0)</f>
        <v>0</v>
      </c>
      <c r="H8" s="110"/>
      <c r="I8" s="112"/>
    </row>
    <row r="9" customFormat="false" ht="19.5" hidden="false" customHeight="true" outlineLevel="0" collapsed="false">
      <c r="A9" s="126" t="n">
        <v>3</v>
      </c>
      <c r="B9" s="109"/>
      <c r="C9" s="101"/>
      <c r="D9" s="101"/>
      <c r="E9" s="110"/>
      <c r="F9" s="111"/>
      <c r="G9" s="127" t="n">
        <f aca="false">IFERROR(E9*F9,0)</f>
        <v>0</v>
      </c>
      <c r="H9" s="110"/>
      <c r="I9" s="112"/>
    </row>
    <row r="10" customFormat="false" ht="19.5" hidden="false" customHeight="true" outlineLevel="0" collapsed="false">
      <c r="A10" s="128" t="n">
        <v>4</v>
      </c>
      <c r="B10" s="109"/>
      <c r="C10" s="101"/>
      <c r="D10" s="101"/>
      <c r="E10" s="110"/>
      <c r="F10" s="111"/>
      <c r="G10" s="127" t="n">
        <f aca="false">IFERROR(E10*F10,0)</f>
        <v>0</v>
      </c>
      <c r="H10" s="110"/>
      <c r="I10" s="112"/>
    </row>
    <row r="11" customFormat="false" ht="19.5" hidden="false" customHeight="true" outlineLevel="0" collapsed="false">
      <c r="A11" s="126" t="n">
        <v>5</v>
      </c>
      <c r="B11" s="109"/>
      <c r="C11" s="101"/>
      <c r="D11" s="101"/>
      <c r="E11" s="110"/>
      <c r="F11" s="111"/>
      <c r="G11" s="127" t="n">
        <f aca="false">IFERROR(E11*F11,0)</f>
        <v>0</v>
      </c>
      <c r="H11" s="110"/>
      <c r="I11" s="112"/>
    </row>
    <row r="12" customFormat="false" ht="19.5" hidden="false" customHeight="true" outlineLevel="0" collapsed="false">
      <c r="A12" s="128" t="n">
        <v>6</v>
      </c>
      <c r="B12" s="109"/>
      <c r="C12" s="101"/>
      <c r="D12" s="101"/>
      <c r="E12" s="110"/>
      <c r="F12" s="111"/>
      <c r="G12" s="127" t="n">
        <f aca="false">IFERROR(E12*F12,0)</f>
        <v>0</v>
      </c>
      <c r="H12" s="110"/>
      <c r="I12" s="112"/>
    </row>
    <row r="13" customFormat="false" ht="19.5" hidden="false" customHeight="true" outlineLevel="0" collapsed="false">
      <c r="A13" s="126" t="n">
        <v>7</v>
      </c>
      <c r="B13" s="109"/>
      <c r="C13" s="101"/>
      <c r="D13" s="101"/>
      <c r="E13" s="110"/>
      <c r="F13" s="111"/>
      <c r="G13" s="127" t="n">
        <f aca="false">IFERROR(E13*F13,0)</f>
        <v>0</v>
      </c>
      <c r="H13" s="110"/>
      <c r="I13" s="112"/>
    </row>
    <row r="14" customFormat="false" ht="19.5" hidden="false" customHeight="true" outlineLevel="0" collapsed="false">
      <c r="A14" s="128" t="n">
        <v>8</v>
      </c>
      <c r="B14" s="109"/>
      <c r="C14" s="101"/>
      <c r="D14" s="101"/>
      <c r="E14" s="110"/>
      <c r="F14" s="111"/>
      <c r="G14" s="127" t="n">
        <f aca="false">IFERROR(E14*F14,0)</f>
        <v>0</v>
      </c>
      <c r="H14" s="110"/>
      <c r="I14" s="112"/>
    </row>
    <row r="15" customFormat="false" ht="19.5" hidden="false" customHeight="true" outlineLevel="0" collapsed="false">
      <c r="A15" s="126" t="n">
        <v>9</v>
      </c>
      <c r="B15" s="109"/>
      <c r="C15" s="101"/>
      <c r="D15" s="101"/>
      <c r="E15" s="110"/>
      <c r="F15" s="111"/>
      <c r="G15" s="127" t="n">
        <f aca="false">IFERROR(E15*F15,0)</f>
        <v>0</v>
      </c>
      <c r="H15" s="110"/>
      <c r="I15" s="112"/>
    </row>
    <row r="16" customFormat="false" ht="19.5" hidden="false" customHeight="true" outlineLevel="0" collapsed="false">
      <c r="A16" s="128" t="n">
        <v>10</v>
      </c>
      <c r="B16" s="109"/>
      <c r="C16" s="101"/>
      <c r="D16" s="101"/>
      <c r="E16" s="110"/>
      <c r="F16" s="111"/>
      <c r="G16" s="127" t="n">
        <f aca="false">IFERROR(E16*F16,0)</f>
        <v>0</v>
      </c>
      <c r="H16" s="110"/>
      <c r="I16" s="112"/>
    </row>
    <row r="17" customFormat="false" ht="19.5" hidden="false" customHeight="true" outlineLevel="0" collapsed="false">
      <c r="A17" s="126" t="n">
        <v>11</v>
      </c>
      <c r="B17" s="109"/>
      <c r="C17" s="101"/>
      <c r="D17" s="101"/>
      <c r="E17" s="110"/>
      <c r="F17" s="111"/>
      <c r="G17" s="127" t="n">
        <f aca="false">IFERROR(E17*F17,0)</f>
        <v>0</v>
      </c>
      <c r="H17" s="110"/>
      <c r="I17" s="112"/>
    </row>
    <row r="18" customFormat="false" ht="19.5" hidden="false" customHeight="true" outlineLevel="0" collapsed="false">
      <c r="A18" s="128" t="n">
        <v>12</v>
      </c>
      <c r="B18" s="109"/>
      <c r="C18" s="101"/>
      <c r="D18" s="101"/>
      <c r="E18" s="110"/>
      <c r="F18" s="111"/>
      <c r="G18" s="127" t="n">
        <f aca="false">IFERROR(E18*F18,0)</f>
        <v>0</v>
      </c>
      <c r="H18" s="110"/>
      <c r="I18" s="112"/>
    </row>
    <row r="19" customFormat="false" ht="19.5" hidden="false" customHeight="true" outlineLevel="0" collapsed="false">
      <c r="A19" s="126" t="n">
        <v>13</v>
      </c>
      <c r="B19" s="109"/>
      <c r="C19" s="101"/>
      <c r="D19" s="101"/>
      <c r="E19" s="110"/>
      <c r="F19" s="111"/>
      <c r="G19" s="127" t="n">
        <f aca="false">IFERROR(E19*F19,0)</f>
        <v>0</v>
      </c>
      <c r="H19" s="110"/>
      <c r="I19" s="112"/>
    </row>
    <row r="20" customFormat="false" ht="19.5" hidden="false" customHeight="true" outlineLevel="0" collapsed="false">
      <c r="A20" s="128" t="n">
        <v>14</v>
      </c>
      <c r="B20" s="109"/>
      <c r="C20" s="101"/>
      <c r="D20" s="101"/>
      <c r="E20" s="110"/>
      <c r="F20" s="111"/>
      <c r="G20" s="127" t="n">
        <f aca="false">IFERROR(E20*F20,0)</f>
        <v>0</v>
      </c>
      <c r="H20" s="110"/>
      <c r="I20" s="112"/>
    </row>
    <row r="21" customFormat="false" ht="19.5" hidden="false" customHeight="true" outlineLevel="0" collapsed="false">
      <c r="A21" s="126" t="n">
        <v>15</v>
      </c>
      <c r="B21" s="109"/>
      <c r="C21" s="101"/>
      <c r="D21" s="101"/>
      <c r="E21" s="110"/>
      <c r="F21" s="111"/>
      <c r="G21" s="127" t="n">
        <f aca="false">IFERROR(E21*F21,0)</f>
        <v>0</v>
      </c>
      <c r="H21" s="110"/>
      <c r="I21" s="112"/>
    </row>
    <row r="22" customFormat="false" ht="19.5" hidden="false" customHeight="true" outlineLevel="0" collapsed="false">
      <c r="A22" s="128" t="n">
        <v>16</v>
      </c>
      <c r="B22" s="109"/>
      <c r="C22" s="101"/>
      <c r="D22" s="101"/>
      <c r="E22" s="110"/>
      <c r="F22" s="111"/>
      <c r="G22" s="127" t="n">
        <f aca="false">IFERROR(E22*F22,0)</f>
        <v>0</v>
      </c>
      <c r="H22" s="110"/>
      <c r="I22" s="112"/>
    </row>
    <row r="23" customFormat="false" ht="19.5" hidden="false" customHeight="true" outlineLevel="0" collapsed="false">
      <c r="A23" s="126" t="n">
        <v>17</v>
      </c>
      <c r="B23" s="109"/>
      <c r="C23" s="101"/>
      <c r="D23" s="101"/>
      <c r="E23" s="110"/>
      <c r="F23" s="111"/>
      <c r="G23" s="127" t="n">
        <f aca="false">IFERROR(E23*F23,0)</f>
        <v>0</v>
      </c>
      <c r="H23" s="110"/>
      <c r="I23" s="112"/>
    </row>
    <row r="24" customFormat="false" ht="19.5" hidden="false" customHeight="true" outlineLevel="0" collapsed="false">
      <c r="A24" s="128" t="n">
        <v>18</v>
      </c>
      <c r="B24" s="109"/>
      <c r="C24" s="101"/>
      <c r="D24" s="101"/>
      <c r="E24" s="110"/>
      <c r="F24" s="111"/>
      <c r="G24" s="127" t="n">
        <f aca="false">IFERROR(E24*F24,0)</f>
        <v>0</v>
      </c>
      <c r="H24" s="110"/>
      <c r="I24" s="112"/>
    </row>
  </sheetData>
  <mergeCells count="4">
    <mergeCell ref="A1:I1"/>
    <mergeCell ref="A2:I2"/>
    <mergeCell ref="A3:F3"/>
    <mergeCell ref="A4:F4"/>
  </mergeCells>
  <dataValidations count="2">
    <dataValidation allowBlank="true" errorStyle="stop" operator="between" showDropDown="false" showErrorMessage="false" showInputMessage="false" sqref="D7:D24" type="list">
      <formula1>"Хол,Спалня,Кухня,Баня,Коридор,Балкон,Общо"</formula1>
      <formula2>0</formula2>
    </dataValidation>
    <dataValidation allowBlank="true" errorStyle="stop" operator="between" showDropDown="false" showErrorMessage="false" showInputMessage="false" sqref="H7:H24" type="list">
      <formula1>"Отлично,Добро,Задоволително,Износено"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20"/>
  </cols>
  <sheetData>
    <row r="1" customFormat="false" ht="36" hidden="false" customHeight="true" outlineLevel="0" collapsed="false">
      <c r="A1" s="93" t="s">
        <v>351</v>
      </c>
      <c r="B1" s="93"/>
      <c r="C1" s="93"/>
      <c r="D1" s="93"/>
      <c r="E1" s="93"/>
    </row>
    <row r="2" customFormat="false" ht="18" hidden="false" customHeight="true" outlineLevel="0" collapsed="false">
      <c r="A2" s="2" t="s">
        <v>352</v>
      </c>
      <c r="B2" s="2"/>
      <c r="C2" s="2"/>
      <c r="D2" s="2"/>
      <c r="E2" s="2"/>
    </row>
    <row r="3" customFormat="false" ht="6.75" hidden="false" customHeight="true" outlineLevel="0" collapsed="false"/>
    <row r="4" customFormat="false" ht="21.75" hidden="false" customHeight="true" outlineLevel="0" collapsed="false">
      <c r="A4" s="3" t="s">
        <v>353</v>
      </c>
      <c r="B4" s="3"/>
      <c r="C4" s="3"/>
      <c r="D4" s="3"/>
      <c r="E4" s="3"/>
    </row>
    <row r="5" customFormat="false" ht="21.75" hidden="false" customHeight="true" outlineLevel="0" collapsed="false">
      <c r="B5" s="94" t="s">
        <v>280</v>
      </c>
      <c r="C5" s="96"/>
      <c r="D5" s="96"/>
      <c r="E5" s="96"/>
    </row>
    <row r="6" customFormat="false" ht="21.75" hidden="false" customHeight="true" outlineLevel="0" collapsed="false">
      <c r="B6" s="94" t="s">
        <v>282</v>
      </c>
      <c r="C6" s="96"/>
      <c r="D6" s="96"/>
      <c r="E6" s="96"/>
    </row>
    <row r="7" customFormat="false" ht="21.75" hidden="false" customHeight="true" outlineLevel="0" collapsed="false">
      <c r="B7" s="94" t="s">
        <v>284</v>
      </c>
      <c r="C7" s="96"/>
      <c r="D7" s="96"/>
      <c r="E7" s="96"/>
    </row>
    <row r="8" customFormat="false" ht="21.75" hidden="false" customHeight="true" outlineLevel="0" collapsed="false">
      <c r="B8" s="94" t="s">
        <v>285</v>
      </c>
      <c r="C8" s="96"/>
      <c r="D8" s="96"/>
      <c r="E8" s="96"/>
    </row>
    <row r="9" customFormat="false" ht="21.75" hidden="false" customHeight="true" outlineLevel="0" collapsed="false">
      <c r="B9" s="94" t="s">
        <v>286</v>
      </c>
      <c r="C9" s="96"/>
      <c r="D9" s="96"/>
      <c r="E9" s="96"/>
    </row>
    <row r="10" customFormat="false" ht="21.75" hidden="false" customHeight="true" outlineLevel="0" collapsed="false">
      <c r="B10" s="98" t="s">
        <v>287</v>
      </c>
      <c r="C10" s="99"/>
      <c r="D10" s="99"/>
      <c r="E10" s="99"/>
    </row>
    <row r="11" customFormat="false" ht="7.5" hidden="false" customHeight="true" outlineLevel="0" collapsed="false"/>
    <row r="12" customFormat="false" ht="21.75" hidden="false" customHeight="true" outlineLevel="0" collapsed="false">
      <c r="A12" s="3" t="s">
        <v>354</v>
      </c>
      <c r="B12" s="3"/>
      <c r="C12" s="3"/>
      <c r="D12" s="3"/>
      <c r="E12" s="3"/>
    </row>
    <row r="13" customFormat="false" ht="21.75" hidden="false" customHeight="true" outlineLevel="0" collapsed="false">
      <c r="B13" s="94" t="s">
        <v>355</v>
      </c>
      <c r="C13" s="96"/>
      <c r="D13" s="96"/>
      <c r="E13" s="96"/>
    </row>
    <row r="14" customFormat="false" ht="21.75" hidden="false" customHeight="true" outlineLevel="0" collapsed="false">
      <c r="B14" s="94" t="s">
        <v>356</v>
      </c>
      <c r="C14" s="129" t="n">
        <f aca="false">IFERROR(C13/8,0)</f>
        <v>0</v>
      </c>
      <c r="D14" s="129"/>
      <c r="E14" s="129"/>
    </row>
    <row r="15" customFormat="false" ht="21.75" hidden="false" customHeight="true" outlineLevel="0" collapsed="false">
      <c r="B15" s="130" t="s">
        <v>357</v>
      </c>
      <c r="C15" s="131" t="n">
        <f aca="false">IFERROR(C14*12,0)</f>
        <v>0</v>
      </c>
      <c r="D15" s="131"/>
      <c r="E15" s="131"/>
    </row>
    <row r="17" customFormat="false" ht="7.5" hidden="false" customHeight="true" outlineLevel="0" collapsed="false"/>
    <row r="18" customFormat="false" ht="21.75" hidden="false" customHeight="true" outlineLevel="0" collapsed="false">
      <c r="A18" s="3" t="s">
        <v>358</v>
      </c>
      <c r="B18" s="3"/>
      <c r="C18" s="3"/>
      <c r="D18" s="3"/>
      <c r="E18" s="3"/>
    </row>
    <row r="19" customFormat="false" ht="21.75" hidden="false" customHeight="true" outlineLevel="0" collapsed="false">
      <c r="B19" s="94" t="s">
        <v>359</v>
      </c>
      <c r="C19" s="96"/>
      <c r="D19" s="96"/>
      <c r="E19" s="96"/>
    </row>
    <row r="20" customFormat="false" ht="21.75" hidden="false" customHeight="true" outlineLevel="0" collapsed="false">
      <c r="B20" s="94" t="s">
        <v>360</v>
      </c>
      <c r="C20" s="96"/>
      <c r="D20" s="96"/>
      <c r="E20" s="96"/>
    </row>
    <row r="21" customFormat="false" ht="21.75" hidden="false" customHeight="true" outlineLevel="0" collapsed="false">
      <c r="B21" s="86" t="s">
        <v>335</v>
      </c>
      <c r="C21" s="96"/>
      <c r="D21" s="96"/>
      <c r="E21" s="96"/>
    </row>
    <row r="22" customFormat="false" ht="21.75" hidden="false" customHeight="true" outlineLevel="0" collapsed="false">
      <c r="B22" s="94" t="s">
        <v>361</v>
      </c>
      <c r="C22" s="132" t="n">
        <f aca="false">IFERROR(C21/C13,0)</f>
        <v>0</v>
      </c>
      <c r="D22" s="132"/>
      <c r="E22" s="132"/>
    </row>
    <row r="24" customFormat="false" ht="7.5" hidden="false" customHeight="true" outlineLevel="0" collapsed="false"/>
    <row r="25" customFormat="false" ht="21.75" hidden="false" customHeight="true" outlineLevel="0" collapsed="false">
      <c r="A25" s="3" t="s">
        <v>362</v>
      </c>
      <c r="B25" s="3"/>
      <c r="C25" s="3"/>
      <c r="D25" s="3"/>
      <c r="E25" s="3"/>
    </row>
    <row r="26" customFormat="false" ht="21.75" hidden="false" customHeight="true" outlineLevel="0" collapsed="false">
      <c r="B26" s="94" t="s">
        <v>363</v>
      </c>
      <c r="C26" s="96"/>
      <c r="D26" s="96"/>
      <c r="E26" s="96"/>
    </row>
    <row r="27" customFormat="false" ht="21.75" hidden="false" customHeight="true" outlineLevel="0" collapsed="false">
      <c r="B27" s="94" t="s">
        <v>364</v>
      </c>
      <c r="C27" s="96"/>
      <c r="D27" s="96"/>
      <c r="E27" s="96"/>
    </row>
    <row r="28" customFormat="false" ht="21.75" hidden="false" customHeight="true" outlineLevel="0" collapsed="false">
      <c r="B28" s="94" t="s">
        <v>365</v>
      </c>
      <c r="C28" s="133"/>
      <c r="D28" s="133"/>
      <c r="E28" s="133"/>
    </row>
    <row r="29" customFormat="false" ht="21.75" hidden="false" customHeight="true" outlineLevel="0" collapsed="false">
      <c r="B29" s="94" t="s">
        <v>366</v>
      </c>
      <c r="C29" s="133"/>
      <c r="D29" s="133"/>
      <c r="E29" s="133"/>
    </row>
    <row r="30" customFormat="false" ht="21.75" hidden="false" customHeight="true" outlineLevel="0" collapsed="false">
      <c r="B30" s="94" t="s">
        <v>367</v>
      </c>
      <c r="C30" s="133"/>
      <c r="D30" s="133"/>
      <c r="E30" s="133"/>
    </row>
    <row r="31" customFormat="false" ht="21.75" hidden="false" customHeight="true" outlineLevel="0" collapsed="false">
      <c r="B31" s="94" t="s">
        <v>368</v>
      </c>
      <c r="C31" s="134"/>
      <c r="D31" s="134"/>
      <c r="E31" s="134"/>
    </row>
    <row r="32" customFormat="false" ht="21.75" hidden="false" customHeight="true" outlineLevel="0" collapsed="false">
      <c r="B32" s="94" t="s">
        <v>361</v>
      </c>
      <c r="C32" s="133"/>
      <c r="D32" s="133"/>
      <c r="E32" s="133"/>
    </row>
    <row r="34" customFormat="false" ht="7.5" hidden="false" customHeight="true" outlineLevel="0" collapsed="false"/>
    <row r="35" customFormat="false" ht="21.75" hidden="false" customHeight="true" outlineLevel="0" collapsed="false">
      <c r="A35" s="3" t="s">
        <v>369</v>
      </c>
      <c r="B35" s="3"/>
      <c r="C35" s="3"/>
      <c r="D35" s="3"/>
      <c r="E35" s="3"/>
    </row>
    <row r="36" customFormat="false" ht="19.5" hidden="false" customHeight="true" outlineLevel="0" collapsed="false">
      <c r="B36" s="135" t="s">
        <v>370</v>
      </c>
      <c r="C36" s="135"/>
      <c r="D36" s="135"/>
      <c r="E36" s="135"/>
    </row>
    <row r="37" customFormat="false" ht="60" hidden="false" customHeight="true" outlineLevel="0" collapsed="false">
      <c r="B37" s="136"/>
      <c r="C37" s="136"/>
      <c r="D37" s="136"/>
      <c r="E37" s="136"/>
    </row>
    <row r="38" customFormat="false" ht="6" hidden="false" customHeight="true" outlineLevel="0" collapsed="false"/>
    <row r="39" customFormat="false" ht="19.5" hidden="false" customHeight="true" outlineLevel="0" collapsed="false">
      <c r="B39" s="135" t="s">
        <v>371</v>
      </c>
      <c r="C39" s="135"/>
      <c r="D39" s="135"/>
      <c r="E39" s="135"/>
    </row>
    <row r="40" customFormat="false" ht="60" hidden="false" customHeight="true" outlineLevel="0" collapsed="false">
      <c r="B40" s="136"/>
      <c r="C40" s="136"/>
      <c r="D40" s="136"/>
      <c r="E40" s="136"/>
    </row>
    <row r="41" customFormat="false" ht="6" hidden="false" customHeight="true" outlineLevel="0" collapsed="false"/>
    <row r="42" customFormat="false" ht="19.5" hidden="false" customHeight="true" outlineLevel="0" collapsed="false">
      <c r="B42" s="135" t="s">
        <v>372</v>
      </c>
      <c r="C42" s="135"/>
      <c r="D42" s="135"/>
      <c r="E42" s="135"/>
    </row>
    <row r="43" customFormat="false" ht="60" hidden="false" customHeight="true" outlineLevel="0" collapsed="false">
      <c r="B43" s="136"/>
      <c r="C43" s="136"/>
      <c r="D43" s="136"/>
      <c r="E43" s="136"/>
    </row>
    <row r="44" customFormat="false" ht="6" hidden="false" customHeight="true" outlineLevel="0" collapsed="false"/>
    <row r="45" customFormat="false" ht="19.5" hidden="false" customHeight="true" outlineLevel="0" collapsed="false">
      <c r="B45" s="135" t="s">
        <v>373</v>
      </c>
      <c r="C45" s="135"/>
      <c r="D45" s="135"/>
      <c r="E45" s="135"/>
    </row>
    <row r="46" customFormat="false" ht="60" hidden="false" customHeight="true" outlineLevel="0" collapsed="false">
      <c r="B46" s="136"/>
      <c r="C46" s="136"/>
      <c r="D46" s="136"/>
      <c r="E46" s="136"/>
    </row>
    <row r="47" customFormat="false" ht="6" hidden="false" customHeight="true" outlineLevel="0" collapsed="false"/>
    <row r="48" customFormat="false" ht="19.5" hidden="false" customHeight="true" outlineLevel="0" collapsed="false">
      <c r="B48" s="135" t="s">
        <v>374</v>
      </c>
      <c r="C48" s="135"/>
      <c r="D48" s="135"/>
      <c r="E48" s="135"/>
    </row>
    <row r="49" customFormat="false" ht="60" hidden="false" customHeight="true" outlineLevel="0" collapsed="false">
      <c r="B49" s="136"/>
      <c r="C49" s="136"/>
      <c r="D49" s="136"/>
      <c r="E49" s="136"/>
    </row>
    <row r="50" customFormat="false" ht="6" hidden="false" customHeight="true" outlineLevel="0" collapsed="false"/>
  </sheetData>
  <mergeCells count="37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A12:E12"/>
    <mergeCell ref="C13:E13"/>
    <mergeCell ref="C14:E14"/>
    <mergeCell ref="C15:E15"/>
    <mergeCell ref="A18:E18"/>
    <mergeCell ref="C19:E19"/>
    <mergeCell ref="C20:E20"/>
    <mergeCell ref="C21:E21"/>
    <mergeCell ref="C22:E22"/>
    <mergeCell ref="A25:E25"/>
    <mergeCell ref="C26:E26"/>
    <mergeCell ref="C27:E27"/>
    <mergeCell ref="C28:E28"/>
    <mergeCell ref="C29:E29"/>
    <mergeCell ref="C30:E30"/>
    <mergeCell ref="C31:E31"/>
    <mergeCell ref="C32:E32"/>
    <mergeCell ref="A35:E35"/>
    <mergeCell ref="B36:E36"/>
    <mergeCell ref="B37:E37"/>
    <mergeCell ref="B39:E39"/>
    <mergeCell ref="B40:E40"/>
    <mergeCell ref="B42:E42"/>
    <mergeCell ref="B43:E43"/>
    <mergeCell ref="B45:E45"/>
    <mergeCell ref="B46:E46"/>
    <mergeCell ref="B48:E48"/>
    <mergeCell ref="B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8"/>
    <col collapsed="false" customWidth="true" hidden="false" outlineLevel="0" max="6" min="6" style="0" width="24"/>
  </cols>
  <sheetData>
    <row r="1" customFormat="false" ht="37.5" hidden="false" customHeight="true" outlineLevel="0" collapsed="false">
      <c r="A1" s="93" t="s">
        <v>375</v>
      </c>
      <c r="B1" s="93"/>
      <c r="C1" s="93"/>
      <c r="D1" s="93"/>
      <c r="E1" s="93"/>
      <c r="F1" s="93"/>
    </row>
    <row r="2" customFormat="false" ht="18" hidden="false" customHeight="true" outlineLevel="0" collapsed="false">
      <c r="A2" s="2" t="s">
        <v>376</v>
      </c>
      <c r="B2" s="2"/>
      <c r="C2" s="2"/>
      <c r="D2" s="2"/>
      <c r="E2" s="2"/>
      <c r="F2" s="2"/>
    </row>
    <row r="3" customFormat="false" ht="6.75" hidden="false" customHeight="true" outlineLevel="0" collapsed="false"/>
    <row r="4" customFormat="false" ht="21.75" hidden="false" customHeight="true" outlineLevel="0" collapsed="false">
      <c r="A4" s="27" t="s">
        <v>377</v>
      </c>
      <c r="B4" s="27"/>
      <c r="C4" s="27"/>
      <c r="D4" s="27"/>
      <c r="E4" s="27"/>
      <c r="F4" s="27"/>
    </row>
    <row r="5" customFormat="false" ht="19.5" hidden="false" customHeight="true" outlineLevel="0" collapsed="false">
      <c r="B5" s="137" t="s">
        <v>378</v>
      </c>
      <c r="C5" s="137" t="s">
        <v>379</v>
      </c>
      <c r="D5" s="137" t="s">
        <v>380</v>
      </c>
      <c r="E5" s="137" t="s">
        <v>381</v>
      </c>
      <c r="F5" s="137"/>
    </row>
    <row r="6" customFormat="false" ht="21.75" hidden="false" customHeight="true" outlineLevel="0" collapsed="false">
      <c r="B6" s="94" t="s">
        <v>382</v>
      </c>
      <c r="C6" s="138" t="s">
        <v>383</v>
      </c>
      <c r="D6" s="139"/>
      <c r="E6" s="140" t="s">
        <v>384</v>
      </c>
      <c r="F6" s="140"/>
    </row>
    <row r="7" customFormat="false" ht="21.75" hidden="false" customHeight="true" outlineLevel="0" collapsed="false">
      <c r="B7" s="94" t="s">
        <v>385</v>
      </c>
      <c r="C7" s="138" t="s">
        <v>383</v>
      </c>
      <c r="D7" s="139"/>
      <c r="E7" s="140" t="s">
        <v>386</v>
      </c>
      <c r="F7" s="140"/>
    </row>
    <row r="8" customFormat="false" ht="21.75" hidden="false" customHeight="true" outlineLevel="0" collapsed="false">
      <c r="B8" s="94" t="s">
        <v>387</v>
      </c>
      <c r="C8" s="138" t="s">
        <v>383</v>
      </c>
      <c r="D8" s="139"/>
      <c r="E8" s="140" t="s">
        <v>388</v>
      </c>
      <c r="F8" s="140"/>
    </row>
    <row r="9" customFormat="false" ht="6" hidden="false" customHeight="true" outlineLevel="0" collapsed="false"/>
    <row r="10" customFormat="false" ht="21.75" hidden="false" customHeight="true" outlineLevel="0" collapsed="false">
      <c r="A10" s="21" t="s">
        <v>389</v>
      </c>
      <c r="B10" s="21"/>
      <c r="C10" s="21"/>
      <c r="D10" s="21"/>
      <c r="E10" s="21"/>
      <c r="F10" s="21"/>
    </row>
    <row r="11" customFormat="false" ht="19.5" hidden="false" customHeight="true" outlineLevel="0" collapsed="false">
      <c r="B11" s="137" t="s">
        <v>378</v>
      </c>
      <c r="C11" s="137" t="s">
        <v>379</v>
      </c>
      <c r="D11" s="137" t="s">
        <v>380</v>
      </c>
      <c r="E11" s="137" t="s">
        <v>381</v>
      </c>
      <c r="F11" s="137"/>
    </row>
    <row r="12" customFormat="false" ht="21.75" hidden="false" customHeight="true" outlineLevel="0" collapsed="false">
      <c r="B12" s="94" t="s">
        <v>390</v>
      </c>
      <c r="C12" s="138" t="s">
        <v>383</v>
      </c>
      <c r="D12" s="139"/>
      <c r="E12" s="140" t="s">
        <v>391</v>
      </c>
      <c r="F12" s="140"/>
    </row>
    <row r="13" customFormat="false" ht="21.75" hidden="false" customHeight="true" outlineLevel="0" collapsed="false">
      <c r="B13" s="94" t="s">
        <v>392</v>
      </c>
      <c r="C13" s="138" t="s">
        <v>383</v>
      </c>
      <c r="D13" s="139"/>
      <c r="E13" s="140" t="s">
        <v>393</v>
      </c>
      <c r="F13" s="140"/>
    </row>
    <row r="14" customFormat="false" ht="21.75" hidden="false" customHeight="true" outlineLevel="0" collapsed="false">
      <c r="B14" s="94" t="s">
        <v>394</v>
      </c>
      <c r="C14" s="138" t="s">
        <v>383</v>
      </c>
      <c r="D14" s="139"/>
      <c r="E14" s="140"/>
      <c r="F14" s="140"/>
    </row>
    <row r="15" customFormat="false" ht="6" hidden="false" customHeight="true" outlineLevel="0" collapsed="false"/>
    <row r="16" customFormat="false" ht="21.75" hidden="false" customHeight="true" outlineLevel="0" collapsed="false">
      <c r="A16" s="27" t="s">
        <v>395</v>
      </c>
      <c r="B16" s="27"/>
      <c r="C16" s="27"/>
      <c r="D16" s="27"/>
      <c r="E16" s="27"/>
      <c r="F16" s="27"/>
    </row>
    <row r="17" customFormat="false" ht="19.5" hidden="false" customHeight="true" outlineLevel="0" collapsed="false">
      <c r="B17" s="137" t="s">
        <v>378</v>
      </c>
      <c r="C17" s="137" t="s">
        <v>379</v>
      </c>
      <c r="D17" s="137" t="s">
        <v>380</v>
      </c>
      <c r="E17" s="137" t="s">
        <v>381</v>
      </c>
      <c r="F17" s="137"/>
    </row>
    <row r="18" customFormat="false" ht="21.75" hidden="false" customHeight="true" outlineLevel="0" collapsed="false">
      <c r="B18" s="94" t="s">
        <v>396</v>
      </c>
      <c r="C18" s="138" t="s">
        <v>383</v>
      </c>
      <c r="D18" s="139"/>
      <c r="E18" s="140" t="s">
        <v>397</v>
      </c>
      <c r="F18" s="140"/>
    </row>
    <row r="19" customFormat="false" ht="21.75" hidden="false" customHeight="true" outlineLevel="0" collapsed="false">
      <c r="B19" s="94" t="s">
        <v>398</v>
      </c>
      <c r="C19" s="138" t="s">
        <v>383</v>
      </c>
      <c r="D19" s="139"/>
      <c r="E19" s="140" t="s">
        <v>399</v>
      </c>
      <c r="F19" s="140"/>
    </row>
    <row r="20" customFormat="false" ht="21.75" hidden="false" customHeight="true" outlineLevel="0" collapsed="false">
      <c r="B20" s="94" t="s">
        <v>400</v>
      </c>
      <c r="C20" s="138" t="s">
        <v>383</v>
      </c>
      <c r="D20" s="139"/>
      <c r="E20" s="140" t="s">
        <v>401</v>
      </c>
      <c r="F20" s="140"/>
    </row>
    <row r="21" customFormat="false" ht="6" hidden="false" customHeight="true" outlineLevel="0" collapsed="false"/>
    <row r="22" customFormat="false" ht="21.75" hidden="false" customHeight="true" outlineLevel="0" collapsed="false">
      <c r="A22" s="40" t="s">
        <v>402</v>
      </c>
      <c r="B22" s="40"/>
      <c r="C22" s="40"/>
      <c r="D22" s="40"/>
      <c r="E22" s="40"/>
      <c r="F22" s="40"/>
    </row>
    <row r="23" customFormat="false" ht="19.5" hidden="false" customHeight="true" outlineLevel="0" collapsed="false">
      <c r="B23" s="137" t="s">
        <v>378</v>
      </c>
      <c r="C23" s="137" t="s">
        <v>379</v>
      </c>
      <c r="D23" s="137" t="s">
        <v>380</v>
      </c>
      <c r="E23" s="137" t="s">
        <v>381</v>
      </c>
      <c r="F23" s="137"/>
    </row>
    <row r="24" customFormat="false" ht="21.75" hidden="false" customHeight="true" outlineLevel="0" collapsed="false">
      <c r="B24" s="94" t="s">
        <v>403</v>
      </c>
      <c r="C24" s="138" t="s">
        <v>383</v>
      </c>
      <c r="D24" s="139"/>
      <c r="E24" s="140" t="s">
        <v>404</v>
      </c>
      <c r="F24" s="140"/>
    </row>
    <row r="25" customFormat="false" ht="21.75" hidden="false" customHeight="true" outlineLevel="0" collapsed="false">
      <c r="B25" s="94" t="s">
        <v>405</v>
      </c>
      <c r="C25" s="138" t="s">
        <v>383</v>
      </c>
      <c r="D25" s="139"/>
      <c r="E25" s="140" t="s">
        <v>406</v>
      </c>
      <c r="F25" s="140"/>
    </row>
    <row r="26" customFormat="false" ht="21.75" hidden="false" customHeight="true" outlineLevel="0" collapsed="false">
      <c r="B26" s="94" t="s">
        <v>407</v>
      </c>
      <c r="C26" s="138" t="s">
        <v>383</v>
      </c>
      <c r="D26" s="139"/>
      <c r="E26" s="140"/>
      <c r="F26" s="140"/>
    </row>
    <row r="27" customFormat="false" ht="6" hidden="false" customHeight="true" outlineLevel="0" collapsed="false"/>
    <row r="28" customFormat="false" ht="21.75" hidden="false" customHeight="true" outlineLevel="0" collapsed="false">
      <c r="A28" s="53" t="s">
        <v>408</v>
      </c>
      <c r="B28" s="53"/>
      <c r="C28" s="53"/>
      <c r="D28" s="53"/>
      <c r="E28" s="53"/>
      <c r="F28" s="53"/>
    </row>
    <row r="29" customFormat="false" ht="19.5" hidden="false" customHeight="true" outlineLevel="0" collapsed="false">
      <c r="B29" s="137" t="s">
        <v>378</v>
      </c>
      <c r="C29" s="137" t="s">
        <v>379</v>
      </c>
      <c r="D29" s="137" t="s">
        <v>380</v>
      </c>
      <c r="E29" s="137" t="s">
        <v>381</v>
      </c>
      <c r="F29" s="137"/>
    </row>
    <row r="30" customFormat="false" ht="21.75" hidden="false" customHeight="true" outlineLevel="0" collapsed="false">
      <c r="B30" s="94" t="s">
        <v>409</v>
      </c>
      <c r="C30" s="138" t="s">
        <v>383</v>
      </c>
      <c r="D30" s="139"/>
      <c r="E30" s="140" t="s">
        <v>410</v>
      </c>
      <c r="F30" s="140"/>
    </row>
    <row r="31" customFormat="false" ht="21.75" hidden="false" customHeight="true" outlineLevel="0" collapsed="false">
      <c r="B31" s="94" t="s">
        <v>411</v>
      </c>
      <c r="C31" s="138" t="s">
        <v>383</v>
      </c>
      <c r="D31" s="139"/>
      <c r="E31" s="140" t="s">
        <v>412</v>
      </c>
      <c r="F31" s="140"/>
    </row>
    <row r="32" customFormat="false" ht="21.75" hidden="false" customHeight="true" outlineLevel="0" collapsed="false">
      <c r="B32" s="94" t="s">
        <v>413</v>
      </c>
      <c r="C32" s="138" t="s">
        <v>383</v>
      </c>
      <c r="D32" s="139"/>
      <c r="E32" s="140" t="s">
        <v>414</v>
      </c>
      <c r="F32" s="140"/>
    </row>
    <row r="33" customFormat="false" ht="6" hidden="false" customHeight="true" outlineLevel="0" collapsed="false"/>
    <row r="34" customFormat="false" ht="21.75" hidden="false" customHeight="true" outlineLevel="0" collapsed="false">
      <c r="A34" s="5" t="s">
        <v>415</v>
      </c>
      <c r="B34" s="5"/>
      <c r="C34" s="5"/>
      <c r="D34" s="5"/>
      <c r="E34" s="5"/>
      <c r="F34" s="5"/>
    </row>
    <row r="35" customFormat="false" ht="19.5" hidden="false" customHeight="true" outlineLevel="0" collapsed="false">
      <c r="B35" s="137" t="s">
        <v>378</v>
      </c>
      <c r="C35" s="137" t="s">
        <v>379</v>
      </c>
      <c r="D35" s="137" t="s">
        <v>380</v>
      </c>
      <c r="E35" s="137" t="s">
        <v>381</v>
      </c>
      <c r="F35" s="137"/>
    </row>
    <row r="36" customFormat="false" ht="21.75" hidden="false" customHeight="true" outlineLevel="0" collapsed="false">
      <c r="B36" s="94" t="s">
        <v>416</v>
      </c>
      <c r="C36" s="138" t="s">
        <v>383</v>
      </c>
      <c r="D36" s="139"/>
      <c r="E36" s="140" t="s">
        <v>417</v>
      </c>
      <c r="F36" s="140"/>
    </row>
    <row r="37" customFormat="false" ht="21.75" hidden="false" customHeight="true" outlineLevel="0" collapsed="false">
      <c r="B37" s="94" t="s">
        <v>418</v>
      </c>
      <c r="C37" s="138" t="s">
        <v>383</v>
      </c>
      <c r="D37" s="139"/>
      <c r="E37" s="140" t="s">
        <v>414</v>
      </c>
      <c r="F37" s="140"/>
    </row>
    <row r="38" customFormat="false" ht="6" hidden="false" customHeight="true" outlineLevel="0" collapsed="false"/>
    <row r="39" customFormat="false" ht="21.75" hidden="false" customHeight="true" outlineLevel="0" collapsed="false">
      <c r="A39" s="82" t="s">
        <v>419</v>
      </c>
      <c r="B39" s="82"/>
      <c r="C39" s="82"/>
      <c r="D39" s="82"/>
      <c r="E39" s="82"/>
      <c r="F39" s="82"/>
    </row>
    <row r="40" customFormat="false" ht="19.5" hidden="false" customHeight="true" outlineLevel="0" collapsed="false">
      <c r="B40" s="137" t="s">
        <v>378</v>
      </c>
      <c r="C40" s="137" t="s">
        <v>379</v>
      </c>
      <c r="D40" s="137" t="s">
        <v>380</v>
      </c>
      <c r="E40" s="137" t="s">
        <v>381</v>
      </c>
      <c r="F40" s="137"/>
    </row>
    <row r="41" customFormat="false" ht="21.75" hidden="false" customHeight="true" outlineLevel="0" collapsed="false">
      <c r="B41" s="94" t="s">
        <v>420</v>
      </c>
      <c r="C41" s="138" t="s">
        <v>383</v>
      </c>
      <c r="D41" s="139"/>
      <c r="E41" s="140" t="s">
        <v>421</v>
      </c>
      <c r="F41" s="140"/>
    </row>
    <row r="42" customFormat="false" ht="21.75" hidden="false" customHeight="true" outlineLevel="0" collapsed="false">
      <c r="B42" s="94" t="s">
        <v>422</v>
      </c>
      <c r="C42" s="138" t="s">
        <v>383</v>
      </c>
      <c r="D42" s="139"/>
      <c r="E42" s="140"/>
      <c r="F42" s="140"/>
    </row>
    <row r="43" customFormat="false" ht="21.75" hidden="false" customHeight="true" outlineLevel="0" collapsed="false">
      <c r="B43" s="94" t="s">
        <v>423</v>
      </c>
      <c r="C43" s="138" t="s">
        <v>383</v>
      </c>
      <c r="D43" s="139"/>
      <c r="E43" s="140" t="s">
        <v>424</v>
      </c>
      <c r="F43" s="140"/>
    </row>
    <row r="44" customFormat="false" ht="6" hidden="false" customHeight="true" outlineLevel="0" collapsed="false"/>
    <row r="45" customFormat="false" ht="27.75" hidden="false" customHeight="true" outlineLevel="0" collapsed="false">
      <c r="B45" s="141" t="s">
        <v>425</v>
      </c>
      <c r="C45" s="141"/>
      <c r="D45" s="142" t="n">
        <f aca="false">IFERROR(SUM(D5,D8,D11,D14,D17,D20,D23,D26,D29,D32,D35,D38,D41,D44,D47,D50,D53,D56),0)</f>
        <v>0</v>
      </c>
      <c r="E45" s="143" t="s">
        <v>426</v>
      </c>
      <c r="F45" s="143"/>
    </row>
  </sheetData>
  <mergeCells count="38">
    <mergeCell ref="A1:F1"/>
    <mergeCell ref="A2:F2"/>
    <mergeCell ref="A4:F4"/>
    <mergeCell ref="E5:F5"/>
    <mergeCell ref="E6:F6"/>
    <mergeCell ref="E7:F7"/>
    <mergeCell ref="E8:F8"/>
    <mergeCell ref="A10:F10"/>
    <mergeCell ref="E11:F11"/>
    <mergeCell ref="E12:F12"/>
    <mergeCell ref="E13:F13"/>
    <mergeCell ref="E14:F14"/>
    <mergeCell ref="A16:F16"/>
    <mergeCell ref="E17:F17"/>
    <mergeCell ref="E18:F18"/>
    <mergeCell ref="E19:F19"/>
    <mergeCell ref="E20:F20"/>
    <mergeCell ref="A22:F22"/>
    <mergeCell ref="E23:F23"/>
    <mergeCell ref="E24:F24"/>
    <mergeCell ref="E25:F25"/>
    <mergeCell ref="E26:F26"/>
    <mergeCell ref="A28:F28"/>
    <mergeCell ref="E29:F29"/>
    <mergeCell ref="E30:F30"/>
    <mergeCell ref="E31:F31"/>
    <mergeCell ref="E32:F32"/>
    <mergeCell ref="A34:F34"/>
    <mergeCell ref="E35:F35"/>
    <mergeCell ref="E36:F36"/>
    <mergeCell ref="E37:F37"/>
    <mergeCell ref="A39:F39"/>
    <mergeCell ref="E40:F40"/>
    <mergeCell ref="E41:F41"/>
    <mergeCell ref="E42:F42"/>
    <mergeCell ref="E43:F43"/>
    <mergeCell ref="B45:C45"/>
    <mergeCell ref="E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2026-04-23T10:34:50Z</dcterms:created>
  <dc:creator>openpyxl</dc:creator>
  <dc:description/>
  <dc:language>en-US</dc:language>
  <cp:lastModifiedBy/>
  <dcterms:modified xsi:type="dcterms:W3CDTF">2026-04-23T10:34:50Z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