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eodorboev/Downloads/"/>
    </mc:Choice>
  </mc:AlternateContent>
  <xr:revisionPtr revIDLastSave="0" documentId="8_{8E4329BC-4348-9C4E-A98C-BE7C9FF963FD}" xr6:coauthVersionLast="47" xr6:coauthVersionMax="47" xr10:uidLastSave="{00000000-0000-0000-0000-000000000000}"/>
  <bookViews>
    <workbookView xWindow="0" yWindow="760" windowWidth="30240" windowHeight="17400" tabRatio="500" xr2:uid="{00000000-000D-0000-FFFF-FFFF00000000}"/>
  </bookViews>
  <sheets>
    <sheet name="Калкулатор" sheetId="1" r:id="rId1"/>
    <sheet name="Сценарии" sheetId="2" r:id="rId2"/>
  </sheets>
  <definedNames>
    <definedName name="_xlnm.Print_Area" localSheetId="0">Калкулатор!$A$1:$G$58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2" l="1"/>
  <c r="E17" i="2"/>
  <c r="E19" i="2"/>
  <c r="E21" i="2"/>
  <c r="E22" i="2"/>
  <c r="C26" i="2"/>
  <c r="C16" i="2"/>
  <c r="E8" i="2"/>
  <c r="E20" i="2" s="1"/>
  <c r="D8" i="2"/>
  <c r="D20" i="2" s="1"/>
  <c r="D23" i="2" s="1"/>
  <c r="C8" i="2"/>
  <c r="C20" i="2" s="1"/>
  <c r="C23" i="2" s="1"/>
  <c r="D22" i="2"/>
  <c r="C22" i="2"/>
  <c r="D21" i="2"/>
  <c r="C21" i="2"/>
  <c r="D19" i="2"/>
  <c r="C19" i="2"/>
  <c r="D18" i="2"/>
  <c r="C18" i="2"/>
  <c r="D17" i="2"/>
  <c r="C17" i="2"/>
  <c r="E16" i="2"/>
  <c r="D16" i="2"/>
  <c r="F53" i="1"/>
  <c r="E53" i="1"/>
  <c r="D53" i="1"/>
  <c r="C53" i="1"/>
  <c r="B53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F22" i="1"/>
  <c r="F23" i="1" s="1"/>
  <c r="F21" i="1"/>
  <c r="F20" i="1"/>
  <c r="F17" i="1"/>
  <c r="F15" i="1"/>
  <c r="F16" i="1" s="1"/>
  <c r="F26" i="1" s="1"/>
  <c r="F11" i="1"/>
  <c r="F10" i="1"/>
  <c r="F9" i="1"/>
  <c r="F8" i="1"/>
  <c r="C24" i="2" l="1"/>
  <c r="E23" i="2"/>
  <c r="E26" i="2" s="1"/>
  <c r="F12" i="1"/>
  <c r="F28" i="1" s="1"/>
  <c r="F35" i="1" s="1"/>
  <c r="F42" i="1"/>
  <c r="D26" i="2"/>
  <c r="F41" i="1"/>
  <c r="F40" i="1"/>
  <c r="F34" i="1"/>
  <c r="F32" i="1"/>
  <c r="F33" i="1"/>
  <c r="F39" i="1"/>
  <c r="D24" i="2"/>
  <c r="C25" i="2"/>
  <c r="D25" i="2"/>
  <c r="E25" i="2" l="1"/>
  <c r="E24" i="2"/>
  <c r="F27" i="1"/>
  <c r="F29" i="1"/>
</calcChain>
</file>

<file path=xl/sharedStrings.xml><?xml version="1.0" encoding="utf-8"?>
<sst xmlns="http://schemas.openxmlformats.org/spreadsheetml/2006/main" count="81" uniqueCount="76">
  <si>
    <t>🏗️   КАЛКУЛАТОР: ПОКУПКА НА ИМОТ НА ЗЕЛЕНО</t>
  </si>
  <si>
    <t>Real Mentor  |  Анализ на доходност и възвращаемост</t>
  </si>
  <si>
    <t>🔵  Сини клетки = въведи данни</t>
  </si>
  <si>
    <t>⚫  Черни клетки = изчислен резултат</t>
  </si>
  <si>
    <t xml:space="preserve">  📋   ОСНОВНИ ПАРАМЕТРИ НА ИМОТА</t>
  </si>
  <si>
    <t xml:space="preserve">  📊   РЕЗУЛТАТИ &amp; ДОХОДНОСТ</t>
  </si>
  <si>
    <t>Цена на имота при покупка (€)</t>
  </si>
  <si>
    <t>Собствен капитал вложен (€)</t>
  </si>
  <si>
    <t>Резервационен депозит (€)</t>
  </si>
  <si>
    <t>Финансиране с ипотека (€)</t>
  </si>
  <si>
    <t>Акт 14 — вноска при строеж (€)</t>
  </si>
  <si>
    <t>Общо вложен капитал с разходи (€)</t>
  </si>
  <si>
    <t>Акт 15/16 — финална вноска (€)</t>
  </si>
  <si>
    <t>Лихви за целия период (€)</t>
  </si>
  <si>
    <t>Период на задържане (години)</t>
  </si>
  <si>
    <t>Обща инвестиция вкл. лихви (€)</t>
  </si>
  <si>
    <t>Очаквана цена при продажба (€)</t>
  </si>
  <si>
    <t xml:space="preserve">  КАПИТАЛОВА ПЕЧАЛБА</t>
  </si>
  <si>
    <t xml:space="preserve">  💰   ФИНАНСИРАНЕ &amp; САМОУЧАСТИЕ</t>
  </si>
  <si>
    <t>Нетен приход от продажба (€)</t>
  </si>
  <si>
    <t>Процент самоучастие (%)</t>
  </si>
  <si>
    <t>Капиталова печалба (€)</t>
  </si>
  <si>
    <t>Лихвен % ипотека (%/год.)</t>
  </si>
  <si>
    <t>Поскъпване на имота (%)</t>
  </si>
  <si>
    <t>Разходи покупка (нотариус, данъци, брокер) (€)</t>
  </si>
  <si>
    <t>Разходи при продажба (брокер, данък) (€)</t>
  </si>
  <si>
    <t xml:space="preserve">  ПРИХОДИ ОТ НАЕМ</t>
  </si>
  <si>
    <t>Наем дългосрочен — за периода (€)</t>
  </si>
  <si>
    <t xml:space="preserve">  🏠   ПРИХОДИ ОТ НАЕМ (незадължително)</t>
  </si>
  <si>
    <t>Наем Airbnb/Booking — за периода (€)</t>
  </si>
  <si>
    <t>Месечен наем — дългосрочен (€)</t>
  </si>
  <si>
    <t>Разходи поддръжка — за периода (€)</t>
  </si>
  <si>
    <t>Заетост Airbnb / Booking (%)</t>
  </si>
  <si>
    <t>Нетен наем — за периода (€)</t>
  </si>
  <si>
    <t>Средна нощна цена Airbnb (€)</t>
  </si>
  <si>
    <t>Годишни разходи за поддръжка (€)</t>
  </si>
  <si>
    <t xml:space="preserve">  🏆   ОБЩА ДОХОДНОСТ</t>
  </si>
  <si>
    <t>Обща нетна печалба (€)</t>
  </si>
  <si>
    <t>Доходност за ЦЕЛИЯ период (%)</t>
  </si>
  <si>
    <t>Годишна доходност — ROI (%/год.)</t>
  </si>
  <si>
    <t>Множител на капитала (MOIC)</t>
  </si>
  <si>
    <t xml:space="preserve">  СРАВНЕНИЕ С АЛТЕРНАТИВИ</t>
  </si>
  <si>
    <t>Доходност само дългосрочен наем (%)</t>
  </si>
  <si>
    <t>Доходност само Airbnb/Booking (%)</t>
  </si>
  <si>
    <t>Само капиталова доходност (%)</t>
  </si>
  <si>
    <t>Период на изплащане (год.)</t>
  </si>
  <si>
    <t xml:space="preserve">  📅   ПРОГНОЗА ГОДИНА ПО ГОДИНА</t>
  </si>
  <si>
    <t>Година</t>
  </si>
  <si>
    <t>Стойност (€)</t>
  </si>
  <si>
    <t>Нетен наем/год. (€)</t>
  </si>
  <si>
    <t>Лихви/год. (€)</t>
  </si>
  <si>
    <t>Нат. доходност (%)</t>
  </si>
  <si>
    <t>💡  Попълни само СИНИТЕ клетки. Всички резултати се изчисляват автоматично. Наемните полета са незадължителни — остави 0 ако имотът не се отдава.</t>
  </si>
  <si>
    <t>Real Mentor © 2025  |  Стратегии за напреднали  |  Калкулатор: Имот на зелено</t>
  </si>
  <si>
    <t>📊   СРАВНЕНИЕ НА СЦЕНАРИИ — ИМОТ НА ЗЕЛЕНО</t>
  </si>
  <si>
    <t>Real Mentor  |  Задай различни параметри и сравни резултатите</t>
  </si>
  <si>
    <t>Параметър</t>
  </si>
  <si>
    <t>ПЕСИМИСТИЧЕН</t>
  </si>
  <si>
    <t>РЕАЛИСТИЧЕН</t>
  </si>
  <si>
    <t>ОПТИМИСТИЧЕН</t>
  </si>
  <si>
    <t>Цена при покупка (€)</t>
  </si>
  <si>
    <t>Период на задържане (год.)</t>
  </si>
  <si>
    <t>Разходи покупка+продажба (€)</t>
  </si>
  <si>
    <t>Месечен наем (€)</t>
  </si>
  <si>
    <t>Годишни разходи наем (€)</t>
  </si>
  <si>
    <t xml:space="preserve">  📈   РЕЗУЛТАТИ</t>
  </si>
  <si>
    <t>Собствен капитал (€)</t>
  </si>
  <si>
    <t>Ипотека (€)</t>
  </si>
  <si>
    <t>Обща инвестиция с разходи (€)</t>
  </si>
  <si>
    <t>Лихви за периода (€)</t>
  </si>
  <si>
    <t>Наем за периода (€)</t>
  </si>
  <si>
    <t>Разходи поддръжка (€)</t>
  </si>
  <si>
    <t>Нетна обща печалба (€)</t>
  </si>
  <si>
    <t>Доходност за периода (%)</t>
  </si>
  <si>
    <t>Годишна доходност (%/год.)</t>
  </si>
  <si>
    <t>Real Mentor © 2025  |  Стратегии за напреднали  |  Имот на зелено — Сценарии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</si>
</sst>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&quot; €&quot;"/>
    <numFmt numFmtId="165" formatCode="0.0&quot; г.&quot;"/>
    <numFmt numFmtId="166" formatCode="0.0\%"/>
    <numFmt numFmtId="167" formatCode="0.00\%"/>
    <numFmt numFmtId="168" formatCode="0\%"/>
    <numFmt numFmtId="169" formatCode="0.00\x"/>
    <numFmt numFmtId="170" formatCode="0.0&quot; год.&quot;"/>
    <numFmt numFmtId="171" formatCode="0&quot;г.&quot;"/>
    <numFmt numFmtId="172" formatCode="0&quot; г.&quot;"/>
  </numFmts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9.5"/>
      <color rgb="FFF5C842"/>
      <name val="Arial"/>
      <family val="2"/>
    </font>
    <font>
      <sz val="10"/>
      <color rgb="FF1D4ED8"/>
      <name val="Arial"/>
      <family val="2"/>
    </font>
    <font>
      <sz val="10"/>
      <color rgb="FF111827"/>
      <name val="Arial"/>
      <family val="2"/>
    </font>
    <font>
      <b/>
      <sz val="10.5"/>
      <color rgb="FFFFFFFF"/>
      <name val="Arial"/>
      <family val="2"/>
    </font>
    <font>
      <sz val="10"/>
      <color rgb="FF4B5563"/>
      <name val="Arial"/>
      <family val="2"/>
    </font>
    <font>
      <b/>
      <sz val="11"/>
      <color rgb="FF0000FF"/>
      <name val="Arial"/>
      <family val="2"/>
    </font>
    <font>
      <sz val="10.5"/>
      <color rgb="FF000000"/>
      <name val="Arial"/>
      <family val="2"/>
    </font>
    <font>
      <b/>
      <sz val="9"/>
      <color rgb="FF0F2B4C"/>
      <name val="Arial"/>
      <family val="2"/>
    </font>
    <font>
      <b/>
      <sz val="11"/>
      <color rgb="FFFFFFFF"/>
      <name val="Arial"/>
      <family val="2"/>
    </font>
    <font>
      <b/>
      <sz val="10"/>
      <color rgb="FF0F2B4C"/>
      <name val="Arial"/>
      <family val="2"/>
    </font>
    <font>
      <b/>
      <sz val="12"/>
      <color rgb="FF000000"/>
      <name val="Arial"/>
      <family val="2"/>
    </font>
    <font>
      <b/>
      <sz val="9.5"/>
      <color rgb="FFFFFFFF"/>
      <name val="Arial"/>
      <family val="2"/>
    </font>
    <font>
      <sz val="10"/>
      <color rgb="FF000000"/>
      <name val="Arial"/>
      <family val="2"/>
    </font>
    <font>
      <sz val="9"/>
      <color rgb="FF92400E"/>
      <name val="Arial"/>
      <family val="2"/>
    </font>
    <font>
      <sz val="8"/>
      <color rgb="FFBBBBBB"/>
      <name val="Arial"/>
      <family val="2"/>
    </font>
    <font>
      <b/>
      <sz val="16"/>
      <color rgb="FFFFFFFF"/>
      <name val="Arial"/>
      <family val="2"/>
    </font>
    <font>
      <b/>
      <sz val="10.5"/>
      <color rgb="FF0000FF"/>
      <name val="Arial"/>
      <family val="2"/>
    </font>
    <font>
      <b/>
      <sz val="11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8922A"/>
        <bgColor rgb="FFFF8080"/>
      </patternFill>
    </fill>
    <fill>
      <patternFill patternType="solid">
        <fgColor rgb="FF0F2B4C"/>
        <bgColor rgb="FF111827"/>
      </patternFill>
    </fill>
    <fill>
      <patternFill patternType="solid">
        <fgColor rgb="FFEBF5FF"/>
        <bgColor rgb="FFF3F4F6"/>
      </patternFill>
    </fill>
    <fill>
      <patternFill patternType="solid">
        <fgColor rgb="FFF3F4F6"/>
        <bgColor rgb="FFF8F5EF"/>
      </patternFill>
    </fill>
    <fill>
      <patternFill patternType="solid">
        <fgColor rgb="FFFFFFFF"/>
        <bgColor rgb="FFF9FAFB"/>
      </patternFill>
    </fill>
    <fill>
      <patternFill patternType="solid">
        <fgColor rgb="FFF8F5EF"/>
        <bgColor rgb="FFF3F4F6"/>
      </patternFill>
    </fill>
    <fill>
      <patternFill patternType="solid">
        <fgColor rgb="FFDBEAFE"/>
        <bgColor rgb="FFE5E7EB"/>
      </patternFill>
    </fill>
    <fill>
      <patternFill patternType="solid">
        <fgColor rgb="FFFEF9EC"/>
        <bgColor rgb="FFFFFDE7"/>
      </patternFill>
    </fill>
    <fill>
      <patternFill patternType="solid">
        <fgColor rgb="FFFFFDE7"/>
        <bgColor rgb="FFFEF9EC"/>
      </patternFill>
    </fill>
    <fill>
      <patternFill patternType="solid">
        <fgColor rgb="FFF9FAFB"/>
        <bgColor rgb="FFFFFFFF"/>
      </patternFill>
    </fill>
    <fill>
      <patternFill patternType="solid">
        <fgColor rgb="FFFEF3C7"/>
        <bgColor rgb="FFFEF9EC"/>
      </patternFill>
    </fill>
    <fill>
      <patternFill patternType="solid">
        <fgColor rgb="FFDC2626"/>
        <bgColor rgb="FF993366"/>
      </patternFill>
    </fill>
    <fill>
      <patternFill patternType="solid">
        <fgColor rgb="FF0D9488"/>
        <bgColor rgb="FF008080"/>
      </patternFill>
    </fill>
    <fill>
      <patternFill patternType="solid">
        <fgColor rgb="FF166534"/>
        <bgColor rgb="FF008080"/>
      </patternFill>
    </fill>
    <fill>
      <patternFill patternType="solid">
        <fgColor rgb="FFFFF0F0"/>
        <bgColor rgb="FFFFEAEA"/>
      </patternFill>
    </fill>
    <fill>
      <patternFill patternType="solid">
        <fgColor rgb="FFE0F7F4"/>
        <bgColor rgb="FFE0F7E4"/>
      </patternFill>
    </fill>
    <fill>
      <patternFill patternType="solid">
        <fgColor rgb="FFE0F7E4"/>
        <bgColor rgb="FFE0F7F4"/>
      </patternFill>
    </fill>
    <fill>
      <patternFill patternType="solid">
        <fgColor rgb="FFFFEAEA"/>
        <bgColor rgb="FFFFF0F0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8922A"/>
      </left>
      <right style="thin">
        <color rgb="FFC8922A"/>
      </right>
      <top style="thin">
        <color rgb="FFC8922A"/>
      </top>
      <bottom style="thin">
        <color rgb="FFC8922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7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left" vertical="center" wrapText="1" indent="1"/>
    </xf>
    <xf numFmtId="0" fontId="10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5" fillId="2" borderId="0" xfId="0" applyFont="1" applyFill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164" fontId="7" fillId="4" borderId="2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 indent="1"/>
    </xf>
    <xf numFmtId="165" fontId="7" fillId="4" borderId="2" xfId="0" applyNumberFormat="1" applyFont="1" applyFill="1" applyBorder="1" applyAlignment="1">
      <alignment horizontal="right" vertical="center"/>
    </xf>
    <xf numFmtId="0" fontId="9" fillId="8" borderId="0" xfId="0" applyFont="1" applyFill="1" applyAlignment="1">
      <alignment horizontal="left" vertical="center" indent="1"/>
    </xf>
    <xf numFmtId="0" fontId="0" fillId="8" borderId="0" xfId="0" applyFill="1"/>
    <xf numFmtId="166" fontId="7" fillId="4" borderId="2" xfId="0" applyNumberFormat="1" applyFont="1" applyFill="1" applyBorder="1" applyAlignment="1">
      <alignment horizontal="right" vertical="center"/>
    </xf>
    <xf numFmtId="167" fontId="7" fillId="4" borderId="2" xfId="0" applyNumberFormat="1" applyFont="1" applyFill="1" applyBorder="1" applyAlignment="1">
      <alignment horizontal="right" vertical="center"/>
    </xf>
    <xf numFmtId="167" fontId="8" fillId="5" borderId="1" xfId="0" applyNumberFormat="1" applyFont="1" applyFill="1" applyBorder="1" applyAlignment="1">
      <alignment horizontal="right" vertical="center"/>
    </xf>
    <xf numFmtId="168" fontId="7" fillId="4" borderId="2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left" vertical="center" indent="1"/>
    </xf>
    <xf numFmtId="164" fontId="12" fillId="10" borderId="2" xfId="0" applyNumberFormat="1" applyFont="1" applyFill="1" applyBorder="1" applyAlignment="1">
      <alignment horizontal="right" vertical="center"/>
    </xf>
    <xf numFmtId="0" fontId="0" fillId="11" borderId="0" xfId="0" applyFill="1"/>
    <xf numFmtId="167" fontId="12" fillId="10" borderId="2" xfId="0" applyNumberFormat="1" applyFont="1" applyFill="1" applyBorder="1" applyAlignment="1">
      <alignment horizontal="right" vertical="center"/>
    </xf>
    <xf numFmtId="169" fontId="12" fillId="10" borderId="2" xfId="0" applyNumberFormat="1" applyFont="1" applyFill="1" applyBorder="1" applyAlignment="1">
      <alignment horizontal="right" vertical="center"/>
    </xf>
    <xf numFmtId="170" fontId="8" fillId="5" borderId="1" xfId="0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center" vertical="center" wrapText="1"/>
    </xf>
    <xf numFmtId="171" fontId="11" fillId="6" borderId="1" xfId="0" applyNumberFormat="1" applyFont="1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right" vertical="center"/>
    </xf>
    <xf numFmtId="167" fontId="14" fillId="6" borderId="1" xfId="0" applyNumberFormat="1" applyFont="1" applyFill="1" applyBorder="1" applyAlignment="1">
      <alignment horizontal="right" vertical="center"/>
    </xf>
    <xf numFmtId="171" fontId="11" fillId="11" borderId="1" xfId="0" applyNumberFormat="1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right" vertical="center"/>
    </xf>
    <xf numFmtId="167" fontId="14" fillId="11" borderId="1" xfId="0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left" vertical="center" indent="1"/>
    </xf>
    <xf numFmtId="0" fontId="5" fillId="13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164" fontId="18" fillId="16" borderId="2" xfId="0" applyNumberFormat="1" applyFont="1" applyFill="1" applyBorder="1" applyAlignment="1">
      <alignment horizontal="right" vertical="center"/>
    </xf>
    <xf numFmtId="164" fontId="18" fillId="17" borderId="2" xfId="0" applyNumberFormat="1" applyFont="1" applyFill="1" applyBorder="1" applyAlignment="1">
      <alignment horizontal="right" vertical="center"/>
    </xf>
    <xf numFmtId="164" fontId="18" fillId="18" borderId="2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 indent="1"/>
    </xf>
    <xf numFmtId="172" fontId="18" fillId="16" borderId="2" xfId="0" applyNumberFormat="1" applyFont="1" applyFill="1" applyBorder="1" applyAlignment="1">
      <alignment horizontal="right" vertical="center"/>
    </xf>
    <xf numFmtId="172" fontId="18" fillId="17" borderId="2" xfId="0" applyNumberFormat="1" applyFont="1" applyFill="1" applyBorder="1" applyAlignment="1">
      <alignment horizontal="right" vertical="center"/>
    </xf>
    <xf numFmtId="172" fontId="18" fillId="18" borderId="2" xfId="0" applyNumberFormat="1" applyFont="1" applyFill="1" applyBorder="1" applyAlignment="1">
      <alignment horizontal="right" vertical="center"/>
    </xf>
    <xf numFmtId="168" fontId="18" fillId="16" borderId="2" xfId="0" applyNumberFormat="1" applyFont="1" applyFill="1" applyBorder="1" applyAlignment="1">
      <alignment horizontal="right" vertical="center"/>
    </xf>
    <xf numFmtId="168" fontId="18" fillId="17" borderId="2" xfId="0" applyNumberFormat="1" applyFont="1" applyFill="1" applyBorder="1" applyAlignment="1">
      <alignment horizontal="right" vertical="center"/>
    </xf>
    <xf numFmtId="168" fontId="18" fillId="18" borderId="2" xfId="0" applyNumberFormat="1" applyFont="1" applyFill="1" applyBorder="1" applyAlignment="1">
      <alignment horizontal="right" vertical="center"/>
    </xf>
    <xf numFmtId="167" fontId="18" fillId="16" borderId="2" xfId="0" applyNumberFormat="1" applyFont="1" applyFill="1" applyBorder="1" applyAlignment="1">
      <alignment horizontal="right" vertical="center"/>
    </xf>
    <xf numFmtId="167" fontId="18" fillId="17" borderId="2" xfId="0" applyNumberFormat="1" applyFont="1" applyFill="1" applyBorder="1" applyAlignment="1">
      <alignment horizontal="right" vertical="center"/>
    </xf>
    <xf numFmtId="167" fontId="18" fillId="18" borderId="2" xfId="0" applyNumberFormat="1" applyFont="1" applyFill="1" applyBorder="1" applyAlignment="1">
      <alignment horizontal="right" vertical="center"/>
    </xf>
    <xf numFmtId="164" fontId="19" fillId="19" borderId="2" xfId="0" applyNumberFormat="1" applyFont="1" applyFill="1" applyBorder="1" applyAlignment="1">
      <alignment horizontal="right" vertical="center"/>
    </xf>
    <xf numFmtId="164" fontId="19" fillId="17" borderId="2" xfId="0" applyNumberFormat="1" applyFont="1" applyFill="1" applyBorder="1" applyAlignment="1">
      <alignment horizontal="right" vertical="center"/>
    </xf>
    <xf numFmtId="164" fontId="19" fillId="18" borderId="2" xfId="0" applyNumberFormat="1" applyFont="1" applyFill="1" applyBorder="1" applyAlignment="1">
      <alignment horizontal="right" vertical="center"/>
    </xf>
    <xf numFmtId="167" fontId="19" fillId="19" borderId="2" xfId="0" applyNumberFormat="1" applyFont="1" applyFill="1" applyBorder="1" applyAlignment="1">
      <alignment horizontal="right" vertical="center"/>
    </xf>
    <xf numFmtId="167" fontId="19" fillId="17" borderId="2" xfId="0" applyNumberFormat="1" applyFont="1" applyFill="1" applyBorder="1" applyAlignment="1">
      <alignment horizontal="right" vertical="center"/>
    </xf>
    <xf numFmtId="167" fontId="19" fillId="18" borderId="2" xfId="0" applyNumberFormat="1" applyFont="1" applyFill="1" applyBorder="1" applyAlignment="1">
      <alignment horizontal="right" vertical="center"/>
    </xf>
    <xf numFmtId="169" fontId="19" fillId="19" borderId="2" xfId="0" applyNumberFormat="1" applyFont="1" applyFill="1" applyBorder="1" applyAlignment="1">
      <alignment horizontal="right" vertical="center"/>
    </xf>
    <xf numFmtId="169" fontId="19" fillId="17" borderId="2" xfId="0" applyNumberFormat="1" applyFont="1" applyFill="1" applyBorder="1" applyAlignment="1">
      <alignment horizontal="right" vertical="center"/>
    </xf>
    <xf numFmtId="169" fontId="19" fillId="18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EF9EC"/>
      <rgbColor rgb="FFFF00FF"/>
      <rgbColor rgb="FF00FFFF"/>
      <rgbColor rgb="FF800000"/>
      <rgbColor rgb="FF166534"/>
      <rgbColor rgb="FF000080"/>
      <rgbColor rgb="FF808000"/>
      <rgbColor rgb="FF800080"/>
      <rgbColor rgb="FF0D9488"/>
      <rgbColor rgb="FFBBBBBB"/>
      <rgbColor rgb="FF808080"/>
      <rgbColor rgb="FFF9FAFB"/>
      <rgbColor rgb="FF993366"/>
      <rgbColor rgb="FFFFFDE7"/>
      <rgbColor rgb="FFE0F7F4"/>
      <rgbColor rgb="FF660066"/>
      <rgbColor rgb="FFFF8080"/>
      <rgbColor rgb="FF1D4ED8"/>
      <rgbColor rgb="FFE5E7EB"/>
      <rgbColor rgb="FF000080"/>
      <rgbColor rgb="FFFF00FF"/>
      <rgbColor rgb="FFF8F5EF"/>
      <rgbColor rgb="FF00FFFF"/>
      <rgbColor rgb="FF800080"/>
      <rgbColor rgb="FF800000"/>
      <rgbColor rgb="FF008080"/>
      <rgbColor rgb="FF0000FF"/>
      <rgbColor rgb="FF00CCFF"/>
      <rgbColor rgb="FFDBEAFE"/>
      <rgbColor rgb="FFE0F7E4"/>
      <rgbColor rgb="FFFEF3C7"/>
      <rgbColor rgb="FFEBF5FF"/>
      <rgbColor rgb="FFFFF0F0"/>
      <rgbColor rgb="FFF3F4F6"/>
      <rgbColor rgb="FFFFEAEA"/>
      <rgbColor rgb="FF3366FF"/>
      <rgbColor rgb="FF33CCCC"/>
      <rgbColor rgb="FF99CC00"/>
      <rgbColor rgb="FFF5C842"/>
      <rgbColor rgb="FFC8922A"/>
      <rgbColor rgb="FFFF6600"/>
      <rgbColor rgb="FF4B5563"/>
      <rgbColor rgb="FF969696"/>
      <rgbColor rgb="FF0F2B4C"/>
      <rgbColor rgb="FF339966"/>
      <rgbColor rgb="FF111827"/>
      <rgbColor rgb="FF333300"/>
      <rgbColor rgb="FF92400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B4C"/>
    <pageSetUpPr fitToPage="1"/>
  </sheetPr>
  <dimension ref="A1:G69"/>
  <sheetViews>
    <sheetView showGridLines="0" tabSelected="1" zoomScale="130" zoomScaleNormal="13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39" sqref="F39"/>
    </sheetView>
  </sheetViews>
  <sheetFormatPr baseColWidth="10" defaultColWidth="8.6640625" defaultRowHeight="15" x14ac:dyDescent="0.2"/>
  <cols>
    <col min="1" max="1" width="1.5" customWidth="1"/>
    <col min="2" max="2" width="32" customWidth="1"/>
    <col min="3" max="3" width="17" customWidth="1"/>
    <col min="4" max="4" width="6" customWidth="1"/>
    <col min="5" max="5" width="32" customWidth="1"/>
    <col min="6" max="6" width="17" customWidth="1"/>
    <col min="7" max="7" width="1.5" customWidth="1"/>
  </cols>
  <sheetData>
    <row r="1" spans="1:7" ht="6.75" customHeight="1" x14ac:dyDescent="0.2">
      <c r="A1" s="10"/>
      <c r="B1" s="10"/>
      <c r="C1" s="10"/>
      <c r="D1" s="10"/>
      <c r="E1" s="10"/>
      <c r="F1" s="10"/>
      <c r="G1" s="10"/>
    </row>
    <row r="2" spans="1:7" ht="48" customHeight="1" x14ac:dyDescent="0.2">
      <c r="B2" s="9" t="s">
        <v>0</v>
      </c>
      <c r="C2" s="9"/>
      <c r="D2" s="9"/>
      <c r="E2" s="9"/>
      <c r="F2" s="9"/>
    </row>
    <row r="3" spans="1:7" ht="19.5" customHeight="1" x14ac:dyDescent="0.2">
      <c r="B3" s="8" t="s">
        <v>1</v>
      </c>
      <c r="C3" s="8"/>
      <c r="D3" s="8"/>
      <c r="E3" s="8"/>
      <c r="F3" s="8"/>
    </row>
    <row r="4" spans="1:7" ht="9.75" customHeight="1" x14ac:dyDescent="0.2"/>
    <row r="5" spans="1:7" ht="25.5" customHeight="1" x14ac:dyDescent="0.2">
      <c r="B5" s="7" t="s">
        <v>2</v>
      </c>
      <c r="C5" s="7"/>
      <c r="E5" s="6" t="s">
        <v>3</v>
      </c>
      <c r="F5" s="6"/>
    </row>
    <row r="6" spans="1:7" ht="7.5" customHeight="1" x14ac:dyDescent="0.2"/>
    <row r="7" spans="1:7" ht="27.75" customHeight="1" x14ac:dyDescent="0.2">
      <c r="B7" s="5" t="s">
        <v>4</v>
      </c>
      <c r="C7" s="5"/>
      <c r="D7" s="11"/>
      <c r="E7" s="12" t="s">
        <v>5</v>
      </c>
      <c r="F7" s="10"/>
    </row>
    <row r="8" spans="1:7" ht="24.75" customHeight="1" x14ac:dyDescent="0.2">
      <c r="B8" s="13" t="s">
        <v>6</v>
      </c>
      <c r="C8" s="14">
        <v>205000</v>
      </c>
      <c r="E8" s="13" t="s">
        <v>7</v>
      </c>
      <c r="F8" s="15">
        <f>C8*(C16/100)</f>
        <v>61500</v>
      </c>
    </row>
    <row r="9" spans="1:7" ht="24.75" customHeight="1" x14ac:dyDescent="0.2">
      <c r="B9" s="16" t="s">
        <v>8</v>
      </c>
      <c r="C9" s="14">
        <v>5000</v>
      </c>
      <c r="E9" s="16" t="s">
        <v>9</v>
      </c>
      <c r="F9" s="15">
        <f>C8*(1-C16/100)</f>
        <v>143500</v>
      </c>
    </row>
    <row r="10" spans="1:7" ht="24.75" customHeight="1" x14ac:dyDescent="0.2">
      <c r="B10" s="13" t="s">
        <v>10</v>
      </c>
      <c r="C10" s="14">
        <v>20000</v>
      </c>
      <c r="E10" s="13" t="s">
        <v>11</v>
      </c>
      <c r="F10" s="15">
        <f>C8*(C16/100)+C18</f>
        <v>67500</v>
      </c>
    </row>
    <row r="11" spans="1:7" ht="24.75" customHeight="1" x14ac:dyDescent="0.2">
      <c r="B11" s="16" t="s">
        <v>12</v>
      </c>
      <c r="C11" s="14">
        <v>78000</v>
      </c>
      <c r="E11" s="16" t="s">
        <v>13</v>
      </c>
      <c r="F11" s="15">
        <f>C8*(1-C16/100)*C17/100*C12</f>
        <v>15067.5</v>
      </c>
    </row>
    <row r="12" spans="1:7" ht="24.75" customHeight="1" x14ac:dyDescent="0.2">
      <c r="B12" s="13" t="s">
        <v>14</v>
      </c>
      <c r="C12" s="17">
        <v>3</v>
      </c>
      <c r="E12" s="13" t="s">
        <v>15</v>
      </c>
      <c r="F12" s="15">
        <f>F10+F11</f>
        <v>82567.5</v>
      </c>
    </row>
    <row r="13" spans="1:7" ht="21" customHeight="1" x14ac:dyDescent="0.2">
      <c r="B13" s="16" t="s">
        <v>16</v>
      </c>
      <c r="C13" s="14">
        <v>145000</v>
      </c>
    </row>
    <row r="14" spans="1:7" ht="18" customHeight="1" x14ac:dyDescent="0.2">
      <c r="E14" s="18" t="s">
        <v>17</v>
      </c>
      <c r="F14" s="19"/>
    </row>
    <row r="15" spans="1:7" ht="24.75" customHeight="1" x14ac:dyDescent="0.2">
      <c r="B15" s="5" t="s">
        <v>18</v>
      </c>
      <c r="C15" s="5"/>
      <c r="D15" s="11"/>
      <c r="E15" s="16" t="s">
        <v>19</v>
      </c>
      <c r="F15" s="15">
        <f>C13-C19</f>
        <v>141000</v>
      </c>
    </row>
    <row r="16" spans="1:7" ht="24.75" customHeight="1" x14ac:dyDescent="0.2">
      <c r="B16" s="13" t="s">
        <v>20</v>
      </c>
      <c r="C16" s="20">
        <v>30</v>
      </c>
      <c r="E16" s="13" t="s">
        <v>21</v>
      </c>
      <c r="F16" s="15">
        <f>F15-C8</f>
        <v>-64000</v>
      </c>
    </row>
    <row r="17" spans="2:6" ht="24.75" customHeight="1" x14ac:dyDescent="0.2">
      <c r="B17" s="16" t="s">
        <v>22</v>
      </c>
      <c r="C17" s="21">
        <v>3.5</v>
      </c>
      <c r="E17" s="16" t="s">
        <v>23</v>
      </c>
      <c r="F17" s="22">
        <f>IF(C8&gt;0,(C13-C8)/C8,0)</f>
        <v>-0.29268292682926828</v>
      </c>
    </row>
    <row r="18" spans="2:6" ht="16" customHeight="1" x14ac:dyDescent="0.2">
      <c r="B18" s="13" t="s">
        <v>24</v>
      </c>
      <c r="C18" s="14">
        <v>6000</v>
      </c>
    </row>
    <row r="19" spans="2:6" ht="18" customHeight="1" x14ac:dyDescent="0.2">
      <c r="B19" s="16" t="s">
        <v>25</v>
      </c>
      <c r="C19" s="14">
        <v>4000</v>
      </c>
      <c r="E19" s="18" t="s">
        <v>26</v>
      </c>
      <c r="F19" s="19"/>
    </row>
    <row r="20" spans="2:6" ht="24.75" customHeight="1" x14ac:dyDescent="0.2">
      <c r="E20" s="13" t="s">
        <v>27</v>
      </c>
      <c r="F20" s="15">
        <f>C22*12*C12</f>
        <v>0</v>
      </c>
    </row>
    <row r="21" spans="2:6" ht="24.75" customHeight="1" x14ac:dyDescent="0.2">
      <c r="B21" s="5" t="s">
        <v>28</v>
      </c>
      <c r="C21" s="5"/>
      <c r="D21" s="11"/>
      <c r="E21" s="16" t="s">
        <v>29</v>
      </c>
      <c r="F21" s="15">
        <f>C24*(C23/100)*30*12*C12</f>
        <v>0</v>
      </c>
    </row>
    <row r="22" spans="2:6" ht="24.75" customHeight="1" x14ac:dyDescent="0.2">
      <c r="B22" s="13" t="s">
        <v>30</v>
      </c>
      <c r="C22" s="14">
        <v>0</v>
      </c>
      <c r="E22" s="13" t="s">
        <v>31</v>
      </c>
      <c r="F22" s="15">
        <f>-C25*C12</f>
        <v>0</v>
      </c>
    </row>
    <row r="23" spans="2:6" ht="24.75" customHeight="1" x14ac:dyDescent="0.2">
      <c r="B23" s="16" t="s">
        <v>32</v>
      </c>
      <c r="C23" s="23">
        <v>70</v>
      </c>
      <c r="E23" s="16" t="s">
        <v>33</v>
      </c>
      <c r="F23" s="15">
        <f>MAX(F20,F21)+F22</f>
        <v>0</v>
      </c>
    </row>
    <row r="24" spans="2:6" ht="18" customHeight="1" x14ac:dyDescent="0.2">
      <c r="B24" s="13" t="s">
        <v>34</v>
      </c>
      <c r="C24" s="14">
        <v>0</v>
      </c>
    </row>
    <row r="25" spans="2:6" ht="30" customHeight="1" x14ac:dyDescent="0.2">
      <c r="B25" s="16" t="s">
        <v>35</v>
      </c>
      <c r="C25" s="14">
        <v>0</v>
      </c>
      <c r="E25" s="4" t="s">
        <v>36</v>
      </c>
      <c r="F25" s="4"/>
    </row>
    <row r="26" spans="2:6" ht="27.75" customHeight="1" x14ac:dyDescent="0.2">
      <c r="E26" s="24" t="s">
        <v>37</v>
      </c>
      <c r="F26" s="25">
        <f>F16+F23</f>
        <v>-64000</v>
      </c>
    </row>
    <row r="27" spans="2:6" ht="27.75" customHeight="1" x14ac:dyDescent="0.2">
      <c r="B27" s="26"/>
      <c r="C27" s="26"/>
      <c r="D27" s="26"/>
      <c r="E27" s="24" t="s">
        <v>38</v>
      </c>
      <c r="F27" s="27">
        <f>IF(F12&gt;0,F26/F12,0)</f>
        <v>-0.77512338389802282</v>
      </c>
    </row>
    <row r="28" spans="2:6" ht="27.75" customHeight="1" x14ac:dyDescent="0.2">
      <c r="B28" s="26"/>
      <c r="C28" s="26"/>
      <c r="D28" s="26"/>
      <c r="E28" s="24" t="s">
        <v>39</v>
      </c>
      <c r="F28" s="27">
        <f>IF(AND(F12&gt;0,C12&gt;0),((1+F26/F12)^(1/C12)-1),0)</f>
        <v>-0.3918909979252212</v>
      </c>
    </row>
    <row r="29" spans="2:6" ht="27.75" customHeight="1" x14ac:dyDescent="0.2">
      <c r="B29" s="26"/>
      <c r="C29" s="26"/>
      <c r="D29" s="26"/>
      <c r="E29" s="24" t="s">
        <v>40</v>
      </c>
      <c r="F29" s="28">
        <f>IF(F12&gt;0,(F26+F12)/F12,0)</f>
        <v>0.22487661610197718</v>
      </c>
    </row>
    <row r="30" spans="2:6" ht="7.5" customHeight="1" x14ac:dyDescent="0.2">
      <c r="B30" s="26"/>
      <c r="C30" s="26"/>
      <c r="D30" s="26"/>
    </row>
    <row r="31" spans="2:6" ht="18" customHeight="1" x14ac:dyDescent="0.2">
      <c r="B31" s="26"/>
      <c r="C31" s="26"/>
      <c r="D31" s="26"/>
      <c r="E31" s="18" t="s">
        <v>41</v>
      </c>
      <c r="F31" s="19"/>
    </row>
    <row r="32" spans="2:6" ht="24.75" customHeight="1" x14ac:dyDescent="0.2">
      <c r="B32" s="26"/>
      <c r="C32" s="26"/>
      <c r="D32" s="26"/>
      <c r="E32" s="13" t="s">
        <v>42</v>
      </c>
      <c r="F32" s="22">
        <f>IF(F12&gt;0,F20/F12,0)</f>
        <v>0</v>
      </c>
    </row>
    <row r="33" spans="2:6" ht="24.75" customHeight="1" x14ac:dyDescent="0.2">
      <c r="B33" s="26"/>
      <c r="C33" s="26"/>
      <c r="D33" s="26"/>
      <c r="E33" s="16" t="s">
        <v>43</v>
      </c>
      <c r="F33" s="22">
        <f>IF(F12&gt;0,F21/F12,0)</f>
        <v>0</v>
      </c>
    </row>
    <row r="34" spans="2:6" ht="24.75" customHeight="1" x14ac:dyDescent="0.2">
      <c r="B34" s="26"/>
      <c r="C34" s="26"/>
      <c r="D34" s="26"/>
      <c r="E34" s="13" t="s">
        <v>44</v>
      </c>
      <c r="F34" s="22">
        <f>IF(F12&gt;0,F16/F12,0)</f>
        <v>-0.77512338389802282</v>
      </c>
    </row>
    <row r="35" spans="2:6" ht="24.75" customHeight="1" x14ac:dyDescent="0.2">
      <c r="B35" s="26"/>
      <c r="C35" s="26"/>
      <c r="D35" s="26"/>
      <c r="E35" s="16" t="s">
        <v>45</v>
      </c>
      <c r="F35" s="29">
        <f>IF(F28&gt;0,1/F28,0)</f>
        <v>0</v>
      </c>
    </row>
    <row r="36" spans="2:6" ht="7.5" customHeight="1" x14ac:dyDescent="0.2">
      <c r="B36" s="26"/>
      <c r="C36" s="26"/>
      <c r="D36" s="26"/>
    </row>
    <row r="37" spans="2:6" ht="25.5" customHeight="1" x14ac:dyDescent="0.2">
      <c r="B37" s="4" t="s">
        <v>46</v>
      </c>
      <c r="C37" s="4"/>
      <c r="D37" s="4"/>
      <c r="E37" s="4"/>
      <c r="F37" s="4"/>
    </row>
    <row r="38" spans="2:6" ht="44" customHeight="1" x14ac:dyDescent="0.2">
      <c r="B38" s="30" t="s">
        <v>47</v>
      </c>
      <c r="C38" s="30" t="s">
        <v>48</v>
      </c>
      <c r="D38" s="30" t="s">
        <v>49</v>
      </c>
      <c r="E38" s="30" t="s">
        <v>50</v>
      </c>
      <c r="F38" s="30" t="s">
        <v>51</v>
      </c>
    </row>
    <row r="39" spans="2:6" ht="21.75" customHeight="1" x14ac:dyDescent="0.2">
      <c r="B39" s="31">
        <f>IF(1&lt;=$C$12,1,"")</f>
        <v>1</v>
      </c>
      <c r="C39" s="32">
        <f>IF(1&lt;=$C$12,$C$8+(1/$C$12)*($C$13-$C$8),"")</f>
        <v>185000</v>
      </c>
      <c r="D39" s="32">
        <f>IF(1&lt;=$C$12,MAX($C$22*12,$C$24*($C$23/100)*30*12)-$C$25,"")</f>
        <v>0</v>
      </c>
      <c r="E39" s="32">
        <f>IF(1&lt;=$C$12,$C$8*(1-$C$16/100)*$C$17/100,"")</f>
        <v>5022.5</v>
      </c>
      <c r="F39" s="33">
        <f>IF(1&lt;=$C$12,IF($F$12&gt;0,((C39-$C$8)+D39*1-E39*1-$C$19)/$F$12,0),"")</f>
        <v>-0.35150028764344327</v>
      </c>
    </row>
    <row r="40" spans="2:6" ht="21.75" customHeight="1" x14ac:dyDescent="0.2">
      <c r="B40" s="34">
        <f>IF(2&lt;=$C$12,2,"")</f>
        <v>2</v>
      </c>
      <c r="C40" s="35">
        <f>IF(2&lt;=$C$12,$C$8+(2/$C$12)*($C$13-$C$8),"")</f>
        <v>165000</v>
      </c>
      <c r="D40" s="35">
        <f>IF(2&lt;=$C$12,MAX($C$22*12,$C$24*($C$23/100)*30*12)-$C$25,"")</f>
        <v>0</v>
      </c>
      <c r="E40" s="35">
        <f>IF(2&lt;=$C$12,$C$8*(1-$C$16/100)*$C$17/100,"")</f>
        <v>5022.5</v>
      </c>
      <c r="F40" s="36">
        <f>IF(2&lt;=$C$12,IF($F$12&gt;0,((C40-$C$8)+D40*2-E40*2-$C$19)/$F$12,0),"")</f>
        <v>-0.65455536379326007</v>
      </c>
    </row>
    <row r="41" spans="2:6" ht="21.75" customHeight="1" x14ac:dyDescent="0.2">
      <c r="B41" s="31">
        <f>IF(3&lt;=$C$12,3,"")</f>
        <v>3</v>
      </c>
      <c r="C41" s="32">
        <f>IF(3&lt;=$C$12,$C$8+(3/$C$12)*($C$13-$C$8),"")</f>
        <v>145000</v>
      </c>
      <c r="D41" s="32">
        <f>IF(3&lt;=$C$12,MAX($C$22*12,$C$24*($C$23/100)*30*12)-$C$25,"")</f>
        <v>0</v>
      </c>
      <c r="E41" s="32">
        <f>IF(3&lt;=$C$12,$C$8*(1-$C$16/100)*$C$17/100,"")</f>
        <v>5022.5</v>
      </c>
      <c r="F41" s="33">
        <f>IF(3&lt;=$C$12,IF($F$12&gt;0,((C41-$C$8)+D41*3-E41*3-$C$19)/$F$12,0),"")</f>
        <v>-0.95761043994307693</v>
      </c>
    </row>
    <row r="42" spans="2:6" ht="21.75" customHeight="1" x14ac:dyDescent="0.2">
      <c r="B42" s="34" t="str">
        <f>IF(4&lt;=$C$12,4,"")</f>
        <v/>
      </c>
      <c r="C42" s="35" t="str">
        <f>IF(4&lt;=$C$12,$C$8+(4/$C$12)*($C$13-$C$8),"")</f>
        <v/>
      </c>
      <c r="D42" s="35" t="str">
        <f>IF(4&lt;=$C$12,MAX($C$22*12,$C$24*($C$23/100)*30*12)-$C$25,"")</f>
        <v/>
      </c>
      <c r="E42" s="35" t="str">
        <f>IF(4&lt;=$C$12,$C$8*(1-$C$16/100)*$C$17/100,"")</f>
        <v/>
      </c>
      <c r="F42" s="36" t="str">
        <f>IF(4&lt;=$C$12,IF($F$12&gt;0,((C42-$C$8)+D42*4-E42*4-$C$19)/$F$12,0),"")</f>
        <v/>
      </c>
    </row>
    <row r="43" spans="2:6" ht="21.75" customHeight="1" x14ac:dyDescent="0.2">
      <c r="B43" s="31" t="str">
        <f>IF(5&lt;=$C$12,5,"")</f>
        <v/>
      </c>
      <c r="C43" s="32" t="str">
        <f>IF(5&lt;=$C$12,$C$8+(5/$C$12)*($C$13-$C$8),"")</f>
        <v/>
      </c>
      <c r="D43" s="32" t="str">
        <f>IF(5&lt;=$C$12,MAX($C$22*12,$C$24*($C$23/100)*30*12)-$C$25,"")</f>
        <v/>
      </c>
      <c r="E43" s="32" t="str">
        <f>IF(5&lt;=$C$12,$C$8*(1-$C$16/100)*$C$17/100,"")</f>
        <v/>
      </c>
      <c r="F43" s="33" t="str">
        <f>IF(5&lt;=$C$12,IF($F$12&gt;0,((C43-$C$8)+D43*5-E43*5-$C$19)/$F$12,0),"")</f>
        <v/>
      </c>
    </row>
    <row r="44" spans="2:6" ht="21.75" customHeight="1" x14ac:dyDescent="0.2">
      <c r="B44" s="34" t="str">
        <f>IF(6&lt;=$C$12,6,"")</f>
        <v/>
      </c>
      <c r="C44" s="35" t="str">
        <f>IF(6&lt;=$C$12,$C$8+(6/$C$12)*($C$13-$C$8),"")</f>
        <v/>
      </c>
      <c r="D44" s="35" t="str">
        <f>IF(6&lt;=$C$12,MAX($C$22*12,$C$24*($C$23/100)*30*12)-$C$25,"")</f>
        <v/>
      </c>
      <c r="E44" s="35" t="str">
        <f>IF(6&lt;=$C$12,$C$8*(1-$C$16/100)*$C$17/100,"")</f>
        <v/>
      </c>
      <c r="F44" s="36" t="str">
        <f>IF(6&lt;=$C$12,IF($F$12&gt;0,((C44-$C$8)+D44*6-E44*6-$C$19)/$F$12,0),"")</f>
        <v/>
      </c>
    </row>
    <row r="45" spans="2:6" ht="21.75" customHeight="1" x14ac:dyDescent="0.2">
      <c r="B45" s="31" t="str">
        <f>IF(7&lt;=$C$12,7,"")</f>
        <v/>
      </c>
      <c r="C45" s="32" t="str">
        <f>IF(7&lt;=$C$12,$C$8+(7/$C$12)*($C$13-$C$8),"")</f>
        <v/>
      </c>
      <c r="D45" s="32" t="str">
        <f>IF(7&lt;=$C$12,MAX($C$22*12,$C$24*($C$23/100)*30*12)-$C$25,"")</f>
        <v/>
      </c>
      <c r="E45" s="32" t="str">
        <f>IF(7&lt;=$C$12,$C$8*(1-$C$16/100)*$C$17/100,"")</f>
        <v/>
      </c>
      <c r="F45" s="33" t="str">
        <f>IF(7&lt;=$C$12,IF($F$12&gt;0,((C45-$C$8)+D45*7-E45*7-$C$19)/$F$12,0),"")</f>
        <v/>
      </c>
    </row>
    <row r="46" spans="2:6" ht="21.75" customHeight="1" x14ac:dyDescent="0.2">
      <c r="B46" s="34" t="str">
        <f>IF(8&lt;=$C$12,8,"")</f>
        <v/>
      </c>
      <c r="C46" s="35" t="str">
        <f>IF(8&lt;=$C$12,$C$8+(8/$C$12)*($C$13-$C$8),"")</f>
        <v/>
      </c>
      <c r="D46" s="35" t="str">
        <f>IF(8&lt;=$C$12,MAX($C$22*12,$C$24*($C$23/100)*30*12)-$C$25,"")</f>
        <v/>
      </c>
      <c r="E46" s="35" t="str">
        <f>IF(8&lt;=$C$12,$C$8*(1-$C$16/100)*$C$17/100,"")</f>
        <v/>
      </c>
      <c r="F46" s="36" t="str">
        <f>IF(8&lt;=$C$12,IF($F$12&gt;0,((C46-$C$8)+D46*8-E46*8-$C$19)/$F$12,0),"")</f>
        <v/>
      </c>
    </row>
    <row r="47" spans="2:6" ht="21.75" customHeight="1" x14ac:dyDescent="0.2">
      <c r="B47" s="31" t="str">
        <f>IF(9&lt;=$C$12,9,"")</f>
        <v/>
      </c>
      <c r="C47" s="32" t="str">
        <f>IF(9&lt;=$C$12,$C$8+(9/$C$12)*($C$13-$C$8),"")</f>
        <v/>
      </c>
      <c r="D47" s="32" t="str">
        <f>IF(9&lt;=$C$12,MAX($C$22*12,$C$24*($C$23/100)*30*12)-$C$25,"")</f>
        <v/>
      </c>
      <c r="E47" s="32" t="str">
        <f>IF(9&lt;=$C$12,$C$8*(1-$C$16/100)*$C$17/100,"")</f>
        <v/>
      </c>
      <c r="F47" s="33" t="str">
        <f>IF(9&lt;=$C$12,IF($F$12&gt;0,((C47-$C$8)+D47*9-E47*9-$C$19)/$F$12,0),"")</f>
        <v/>
      </c>
    </row>
    <row r="48" spans="2:6" ht="21.75" customHeight="1" x14ac:dyDescent="0.2">
      <c r="B48" s="34" t="str">
        <f>IF(10&lt;=$C$12,10,"")</f>
        <v/>
      </c>
      <c r="C48" s="35" t="str">
        <f>IF(10&lt;=$C$12,$C$8+(10/$C$12)*($C$13-$C$8),"")</f>
        <v/>
      </c>
      <c r="D48" s="35" t="str">
        <f>IF(10&lt;=$C$12,MAX($C$22*12,$C$24*($C$23/100)*30*12)-$C$25,"")</f>
        <v/>
      </c>
      <c r="E48" s="35" t="str">
        <f>IF(10&lt;=$C$12,$C$8*(1-$C$16/100)*$C$17/100,"")</f>
        <v/>
      </c>
      <c r="F48" s="36" t="str">
        <f>IF(10&lt;=$C$12,IF($F$12&gt;0,((C48-$C$8)+D48*10-E48*10-$C$19)/$F$12,0),"")</f>
        <v/>
      </c>
    </row>
    <row r="49" spans="1:7" ht="21.75" customHeight="1" x14ac:dyDescent="0.2">
      <c r="B49" s="31" t="str">
        <f>IF(11&lt;=$C$12,11,"")</f>
        <v/>
      </c>
      <c r="C49" s="32" t="str">
        <f>IF(11&lt;=$C$12,$C$8+(11/$C$12)*($C$13-$C$8),"")</f>
        <v/>
      </c>
      <c r="D49" s="32" t="str">
        <f>IF(11&lt;=$C$12,MAX($C$22*12,$C$24*($C$23/100)*30*12)-$C$25,"")</f>
        <v/>
      </c>
      <c r="E49" s="32" t="str">
        <f>IF(11&lt;=$C$12,$C$8*(1-$C$16/100)*$C$17/100,"")</f>
        <v/>
      </c>
      <c r="F49" s="33" t="str">
        <f>IF(11&lt;=$C$12,IF($F$12&gt;0,((C49-$C$8)+D49*11-E49*11-$C$19)/$F$12,0),"")</f>
        <v/>
      </c>
    </row>
    <row r="50" spans="1:7" ht="21.75" customHeight="1" x14ac:dyDescent="0.2">
      <c r="B50" s="34" t="str">
        <f>IF(12&lt;=$C$12,12,"")</f>
        <v/>
      </c>
      <c r="C50" s="35" t="str">
        <f>IF(12&lt;=$C$12,$C$8+(12/$C$12)*($C$13-$C$8),"")</f>
        <v/>
      </c>
      <c r="D50" s="35" t="str">
        <f>IF(12&lt;=$C$12,MAX($C$22*12,$C$24*($C$23/100)*30*12)-$C$25,"")</f>
        <v/>
      </c>
      <c r="E50" s="35" t="str">
        <f>IF(12&lt;=$C$12,$C$8*(1-$C$16/100)*$C$17/100,"")</f>
        <v/>
      </c>
      <c r="F50" s="36" t="str">
        <f>IF(12&lt;=$C$12,IF($F$12&gt;0,((C50-$C$8)+D50*12-E50*12-$C$19)/$F$12,0),"")</f>
        <v/>
      </c>
    </row>
    <row r="51" spans="1:7" ht="21.75" customHeight="1" x14ac:dyDescent="0.2">
      <c r="B51" s="31" t="str">
        <f>IF(13&lt;=$C$12,13,"")</f>
        <v/>
      </c>
      <c r="C51" s="32" t="str">
        <f>IF(13&lt;=$C$12,$C$8+(13/$C$12)*($C$13-$C$8),"")</f>
        <v/>
      </c>
      <c r="D51" s="32" t="str">
        <f>IF(13&lt;=$C$12,MAX($C$22*12,$C$24*($C$23/100)*30*12)-$C$25,"")</f>
        <v/>
      </c>
      <c r="E51" s="32" t="str">
        <f>IF(13&lt;=$C$12,$C$8*(1-$C$16/100)*$C$17/100,"")</f>
        <v/>
      </c>
      <c r="F51" s="33" t="str">
        <f>IF(13&lt;=$C$12,IF($F$12&gt;0,((C51-$C$8)+D51*13-E51*13-$C$19)/$F$12,0),"")</f>
        <v/>
      </c>
    </row>
    <row r="52" spans="1:7" ht="21.75" customHeight="1" x14ac:dyDescent="0.2">
      <c r="B52" s="34" t="str">
        <f>IF(14&lt;=$C$12,14,"")</f>
        <v/>
      </c>
      <c r="C52" s="35" t="str">
        <f>IF(14&lt;=$C$12,$C$8+(14/$C$12)*($C$13-$C$8),"")</f>
        <v/>
      </c>
      <c r="D52" s="35" t="str">
        <f>IF(14&lt;=$C$12,MAX($C$22*12,$C$24*($C$23/100)*30*12)-$C$25,"")</f>
        <v/>
      </c>
      <c r="E52" s="35" t="str">
        <f>IF(14&lt;=$C$12,$C$8*(1-$C$16/100)*$C$17/100,"")</f>
        <v/>
      </c>
      <c r="F52" s="36" t="str">
        <f>IF(14&lt;=$C$12,IF($F$12&gt;0,((C52-$C$8)+D52*14-E52*14-$C$19)/$F$12,0),"")</f>
        <v/>
      </c>
    </row>
    <row r="53" spans="1:7" ht="21.75" customHeight="1" x14ac:dyDescent="0.2">
      <c r="B53" s="31" t="str">
        <f>IF(15&lt;=$C$12,15,"")</f>
        <v/>
      </c>
      <c r="C53" s="32" t="str">
        <f>IF(15&lt;=$C$12,$C$8+(15/$C$12)*($C$13-$C$8),"")</f>
        <v/>
      </c>
      <c r="D53" s="32" t="str">
        <f>IF(15&lt;=$C$12,MAX($C$22*12,$C$24*($C$23/100)*30*12)-$C$25,"")</f>
        <v/>
      </c>
      <c r="E53" s="32" t="str">
        <f>IF(15&lt;=$C$12,$C$8*(1-$C$16/100)*$C$17/100,"")</f>
        <v/>
      </c>
      <c r="F53" s="33" t="str">
        <f>IF(15&lt;=$C$12,IF($F$12&gt;0,((C53-$C$8)+D53*15-E53*15-$C$19)/$F$12,0),"")</f>
        <v/>
      </c>
    </row>
    <row r="54" spans="1:7" ht="7.5" customHeight="1" x14ac:dyDescent="0.2"/>
    <row r="55" spans="1:7" ht="30" customHeight="1" x14ac:dyDescent="0.2">
      <c r="B55" s="3" t="s">
        <v>52</v>
      </c>
      <c r="C55" s="3"/>
      <c r="D55" s="3"/>
      <c r="E55" s="3"/>
      <c r="F55" s="3"/>
    </row>
    <row r="56" spans="1:7" ht="7.5" customHeight="1" x14ac:dyDescent="0.2"/>
    <row r="57" spans="1:7" ht="19.5" customHeight="1" x14ac:dyDescent="0.2">
      <c r="B57" s="2" t="s">
        <v>53</v>
      </c>
      <c r="C57" s="2"/>
      <c r="D57" s="2"/>
      <c r="E57" s="2"/>
      <c r="F57" s="2"/>
    </row>
    <row r="58" spans="1:7" ht="6.75" customHeight="1" x14ac:dyDescent="0.2">
      <c r="A58" s="10"/>
      <c r="B58" s="10"/>
      <c r="C58" s="10"/>
      <c r="D58" s="10"/>
      <c r="E58" s="10"/>
      <c r="F58" s="10"/>
      <c r="G58" s="10"/>
    </row>
    <row r="59" spans="1:7" ht="21.75" customHeight="1" x14ac:dyDescent="0.2"/>
    <row r="60" spans="1:7" ht="21.75" customHeight="1" x14ac:dyDescent="0.2"/>
    <row r="61" spans="1:7" ht="21.75" customHeight="1" x14ac:dyDescent="0.2"/>
    <row r="62" spans="1:7" ht="21.75" customHeight="1" x14ac:dyDescent="0.2"/>
    <row r="63" spans="1:7" ht="21.75" customHeight="1" x14ac:dyDescent="0.2"/>
    <row r="64" spans="1:7" ht="21.75" customHeight="1" x14ac:dyDescent="0.2"/>
    <row r="65" ht="21.75" customHeight="1" x14ac:dyDescent="0.2"/>
    <row r="66" ht="21.75" customHeight="1" x14ac:dyDescent="0.2"/>
    <row r="67" ht="21.75" customHeight="1" x14ac:dyDescent="0.2"/>
    <row r="68" ht="21.75" customHeight="1" x14ac:dyDescent="0.2"/>
    <row r="69" ht="21.75" customHeight="1" x14ac:dyDescent="0.2"/>
  </sheetData>
  <mergeCells count="11">
    <mergeCell ref="B57:F57"/>
    <mergeCell ref="B15:C15"/>
    <mergeCell ref="B21:C21"/>
    <mergeCell ref="E25:F25"/>
    <mergeCell ref="B37:F37"/>
    <mergeCell ref="B55:F55"/>
    <mergeCell ref="B2:F2"/>
    <mergeCell ref="B3:F3"/>
    <mergeCell ref="B5:C5"/>
    <mergeCell ref="E5:F5"/>
    <mergeCell ref="B7:C7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922A"/>
  </sheetPr>
  <dimension ref="A1:F39"/>
  <sheetViews>
    <sheetView showGridLines="0" zoomScale="130" zoomScaleNormal="130"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E26" sqref="E26"/>
    </sheetView>
  </sheetViews>
  <sheetFormatPr baseColWidth="10" defaultColWidth="8.6640625" defaultRowHeight="15" x14ac:dyDescent="0.2"/>
  <cols>
    <col min="1" max="1" width="1.5" customWidth="1"/>
    <col min="2" max="2" width="30" customWidth="1"/>
    <col min="3" max="5" width="16" customWidth="1"/>
    <col min="6" max="6" width="1.5" customWidth="1"/>
  </cols>
  <sheetData>
    <row r="1" spans="1:6" ht="6.75" customHeight="1" x14ac:dyDescent="0.2">
      <c r="A1" s="10"/>
      <c r="B1" s="10"/>
      <c r="C1" s="10"/>
      <c r="D1" s="10"/>
      <c r="E1" s="10"/>
      <c r="F1" s="10"/>
    </row>
    <row r="2" spans="1:6" ht="45.75" customHeight="1" x14ac:dyDescent="0.2">
      <c r="B2" s="1" t="s">
        <v>54</v>
      </c>
      <c r="C2" s="1"/>
      <c r="D2" s="1"/>
      <c r="E2" s="1"/>
    </row>
    <row r="3" spans="1:6" ht="19.5" customHeight="1" x14ac:dyDescent="0.2">
      <c r="B3" s="8" t="s">
        <v>55</v>
      </c>
      <c r="C3" s="8"/>
      <c r="D3" s="8"/>
      <c r="E3" s="8"/>
    </row>
    <row r="4" spans="1:6" ht="7.5" customHeight="1" x14ac:dyDescent="0.2"/>
    <row r="5" spans="1:6" ht="30" customHeight="1" x14ac:dyDescent="0.2">
      <c r="B5" s="37" t="s">
        <v>56</v>
      </c>
      <c r="C5" s="38" t="s">
        <v>57</v>
      </c>
      <c r="D5" s="39" t="s">
        <v>58</v>
      </c>
      <c r="E5" s="40" t="s">
        <v>59</v>
      </c>
    </row>
    <row r="6" spans="1:6" ht="24.75" customHeight="1" x14ac:dyDescent="0.2">
      <c r="B6" s="13" t="s">
        <v>60</v>
      </c>
      <c r="C6" s="41">
        <v>205000</v>
      </c>
      <c r="D6" s="42">
        <v>205000</v>
      </c>
      <c r="E6" s="43">
        <v>205000</v>
      </c>
    </row>
    <row r="7" spans="1:6" ht="24.75" customHeight="1" x14ac:dyDescent="0.2">
      <c r="B7" s="44" t="s">
        <v>61</v>
      </c>
      <c r="C7" s="45">
        <v>2</v>
      </c>
      <c r="D7" s="46">
        <v>3</v>
      </c>
      <c r="E7" s="47">
        <v>5</v>
      </c>
    </row>
    <row r="8" spans="1:6" ht="24.75" customHeight="1" x14ac:dyDescent="0.2">
      <c r="B8" s="13" t="s">
        <v>16</v>
      </c>
      <c r="C8" s="41">
        <f>C6*1.1</f>
        <v>225500.00000000003</v>
      </c>
      <c r="D8" s="42">
        <f>D6*1.2</f>
        <v>246000</v>
      </c>
      <c r="E8" s="43">
        <f>E6*1.35</f>
        <v>276750</v>
      </c>
    </row>
    <row r="9" spans="1:6" ht="24.75" customHeight="1" x14ac:dyDescent="0.2">
      <c r="B9" s="44" t="s">
        <v>20</v>
      </c>
      <c r="C9" s="48">
        <v>20</v>
      </c>
      <c r="D9" s="49">
        <v>30</v>
      </c>
      <c r="E9" s="50">
        <v>50</v>
      </c>
    </row>
    <row r="10" spans="1:6" ht="24.75" customHeight="1" x14ac:dyDescent="0.2">
      <c r="B10" s="13" t="s">
        <v>22</v>
      </c>
      <c r="C10" s="51">
        <v>3.5</v>
      </c>
      <c r="D10" s="52">
        <v>3.5</v>
      </c>
      <c r="E10" s="53">
        <v>3.5</v>
      </c>
    </row>
    <row r="11" spans="1:6" ht="24.75" customHeight="1" x14ac:dyDescent="0.2">
      <c r="B11" s="44" t="s">
        <v>62</v>
      </c>
      <c r="C11" s="41">
        <v>8000</v>
      </c>
      <c r="D11" s="42">
        <v>10000</v>
      </c>
      <c r="E11" s="43">
        <v>13000</v>
      </c>
    </row>
    <row r="12" spans="1:6" ht="24.75" customHeight="1" x14ac:dyDescent="0.2">
      <c r="B12" s="13" t="s">
        <v>63</v>
      </c>
      <c r="C12" s="41">
        <v>0</v>
      </c>
      <c r="D12" s="42">
        <v>500</v>
      </c>
      <c r="E12" s="43">
        <v>900</v>
      </c>
    </row>
    <row r="13" spans="1:6" ht="24.75" customHeight="1" x14ac:dyDescent="0.2">
      <c r="B13" s="44" t="s">
        <v>64</v>
      </c>
      <c r="C13" s="41">
        <v>0</v>
      </c>
      <c r="D13" s="42">
        <v>600</v>
      </c>
      <c r="E13" s="43">
        <v>1200</v>
      </c>
    </row>
    <row r="14" spans="1:6" ht="7.5" customHeight="1" x14ac:dyDescent="0.2"/>
    <row r="15" spans="1:6" ht="27.75" customHeight="1" x14ac:dyDescent="0.2">
      <c r="B15" s="4" t="s">
        <v>65</v>
      </c>
      <c r="C15" s="4"/>
      <c r="D15" s="4"/>
      <c r="E15" s="4"/>
    </row>
    <row r="16" spans="1:6" ht="24.75" customHeight="1" x14ac:dyDescent="0.2">
      <c r="B16" s="13" t="s">
        <v>66</v>
      </c>
      <c r="C16" s="32">
        <f>C6*(C9/100)</f>
        <v>41000</v>
      </c>
      <c r="D16" s="32">
        <f>D6*(D9/100)</f>
        <v>61500</v>
      </c>
      <c r="E16" s="32">
        <f>E6*(E9/100)</f>
        <v>102500</v>
      </c>
    </row>
    <row r="17" spans="1:6" ht="24.75" customHeight="1" x14ac:dyDescent="0.2">
      <c r="B17" s="44" t="s">
        <v>67</v>
      </c>
      <c r="C17" s="35">
        <f>C6*(1-C9/100)</f>
        <v>164000</v>
      </c>
      <c r="D17" s="35">
        <f>D6*(1-D9/100)</f>
        <v>143500</v>
      </c>
      <c r="E17" s="35">
        <f>E6*(1-E9/100)</f>
        <v>102500</v>
      </c>
    </row>
    <row r="18" spans="1:6" ht="24.75" customHeight="1" x14ac:dyDescent="0.2">
      <c r="B18" s="13" t="s">
        <v>68</v>
      </c>
      <c r="C18" s="32">
        <f>C6*(C9/100)+C11</f>
        <v>49000</v>
      </c>
      <c r="D18" s="32">
        <f>D6*(D9/100)+D11</f>
        <v>71500</v>
      </c>
      <c r="E18" s="32">
        <f>E6*(E9/100)+E11</f>
        <v>115500</v>
      </c>
    </row>
    <row r="19" spans="1:6" ht="24.75" customHeight="1" x14ac:dyDescent="0.2">
      <c r="B19" s="44" t="s">
        <v>69</v>
      </c>
      <c r="C19" s="35">
        <f>C6*(1-C9/100)*C10/100*C7</f>
        <v>11480</v>
      </c>
      <c r="D19" s="35">
        <f>D6*(1-D9/100)*D10/100*D7</f>
        <v>15067.5</v>
      </c>
      <c r="E19" s="35">
        <f>E6*(1-E9/100)*E10/100*E7</f>
        <v>17937.5</v>
      </c>
    </row>
    <row r="20" spans="1:6" ht="24.75" customHeight="1" x14ac:dyDescent="0.2">
      <c r="B20" s="13" t="s">
        <v>21</v>
      </c>
      <c r="C20" s="32">
        <f>C8-C6</f>
        <v>20500.000000000029</v>
      </c>
      <c r="D20" s="32">
        <f>D8-D6</f>
        <v>41000</v>
      </c>
      <c r="E20" s="32">
        <f>E8-E6</f>
        <v>71750</v>
      </c>
    </row>
    <row r="21" spans="1:6" ht="24.75" customHeight="1" x14ac:dyDescent="0.2">
      <c r="B21" s="44" t="s">
        <v>70</v>
      </c>
      <c r="C21" s="35">
        <f>C12*12*C7</f>
        <v>0</v>
      </c>
      <c r="D21" s="35">
        <f>D12*12*D7</f>
        <v>18000</v>
      </c>
      <c r="E21" s="35">
        <f>E12*12*E7</f>
        <v>54000</v>
      </c>
    </row>
    <row r="22" spans="1:6" ht="24.75" customHeight="1" x14ac:dyDescent="0.2">
      <c r="B22" s="13" t="s">
        <v>71</v>
      </c>
      <c r="C22" s="32">
        <f>-C13*C7</f>
        <v>0</v>
      </c>
      <c r="D22" s="32">
        <f>-D13*D7</f>
        <v>-1800</v>
      </c>
      <c r="E22" s="32">
        <f>-E13*E7</f>
        <v>-6000</v>
      </c>
    </row>
    <row r="23" spans="1:6" ht="24.75" customHeight="1" x14ac:dyDescent="0.2">
      <c r="B23" s="24" t="s">
        <v>72</v>
      </c>
      <c r="C23" s="54">
        <f>C20+C21+C22</f>
        <v>20500.000000000029</v>
      </c>
      <c r="D23" s="55">
        <f>D20+D21+D22</f>
        <v>57200</v>
      </c>
      <c r="E23" s="56">
        <f>E20+E21+E22</f>
        <v>119750</v>
      </c>
    </row>
    <row r="24" spans="1:6" ht="24.75" customHeight="1" x14ac:dyDescent="0.2">
      <c r="B24" s="24" t="s">
        <v>73</v>
      </c>
      <c r="C24" s="57">
        <f>IF(C18&gt;0,C23/C18,0)</f>
        <v>0.41836734693877609</v>
      </c>
      <c r="D24" s="58">
        <f>IF(D18&gt;0,D23/D18,0)</f>
        <v>0.8</v>
      </c>
      <c r="E24" s="59">
        <f>IF(E18&gt;0,E23/E18,0)</f>
        <v>1.0367965367965368</v>
      </c>
    </row>
    <row r="25" spans="1:6" ht="24.75" customHeight="1" x14ac:dyDescent="0.2">
      <c r="B25" s="24" t="s">
        <v>74</v>
      </c>
      <c r="C25" s="57">
        <f>IF(AND(C18&gt;0,C7&gt;0),((1+C23/C18)^(1/C7)-1),0)</f>
        <v>0.19095228575236223</v>
      </c>
      <c r="D25" s="58">
        <f>IF(AND(D18&gt;0,D7&gt;0),((1+D23/D18)^(1/D7)-1),0)</f>
        <v>0.21644039911467994</v>
      </c>
      <c r="E25" s="59">
        <f>IF(AND(E18&gt;0,E7&gt;0),((1+E23/E18)^(1/E7)-1),0)</f>
        <v>0.15289439973724006</v>
      </c>
    </row>
    <row r="26" spans="1:6" ht="24.75" customHeight="1" x14ac:dyDescent="0.2">
      <c r="B26" s="24" t="s">
        <v>40</v>
      </c>
      <c r="C26" s="60">
        <f>IF(C18&gt;0,(C23+C18)/C18,0)</f>
        <v>1.4183673469387761</v>
      </c>
      <c r="D26" s="61">
        <f>IF(D18&gt;0,(D23+D18)/D18,0)</f>
        <v>1.8</v>
      </c>
      <c r="E26" s="62">
        <f>IF(E18&gt;0,(E23+E18)/E18,0)</f>
        <v>2.0367965367965368</v>
      </c>
    </row>
    <row r="27" spans="1:6" ht="7.5" customHeight="1" x14ac:dyDescent="0.2"/>
    <row r="28" spans="1:6" ht="19.5" customHeight="1" x14ac:dyDescent="0.2">
      <c r="B28" s="2" t="s">
        <v>75</v>
      </c>
      <c r="C28" s="2"/>
      <c r="D28" s="2"/>
      <c r="E28" s="2"/>
    </row>
    <row r="29" spans="1:6" ht="6.75" customHeight="1" x14ac:dyDescent="0.2">
      <c r="A29" s="10"/>
      <c r="B29" s="10"/>
      <c r="C29" s="10"/>
      <c r="D29" s="10"/>
      <c r="E29" s="10"/>
      <c r="F29" s="10"/>
    </row>
    <row r="30" spans="1:6" ht="21.75" customHeight="1" x14ac:dyDescent="0.2"/>
    <row r="31" spans="1:6" ht="21.75" customHeight="1" x14ac:dyDescent="0.2"/>
    <row r="32" spans="1:6" ht="21.75" customHeight="1" x14ac:dyDescent="0.2"/>
    <row r="33" ht="21.75" customHeight="1" x14ac:dyDescent="0.2"/>
    <row r="34" ht="21.75" customHeight="1" x14ac:dyDescent="0.2"/>
    <row r="35" ht="21.75" customHeight="1" x14ac:dyDescent="0.2"/>
    <row r="36" ht="21.75" customHeight="1" x14ac:dyDescent="0.2"/>
    <row r="37" ht="21.75" customHeight="1" x14ac:dyDescent="0.2"/>
    <row r="38" ht="21.75" customHeight="1" x14ac:dyDescent="0.2"/>
    <row r="39" ht="21.75" customHeight="1" x14ac:dyDescent="0.2"/>
  </sheetData>
  <mergeCells count="4">
    <mergeCell ref="B2:E2"/>
    <mergeCell ref="B3:E3"/>
    <mergeCell ref="B15:E15"/>
    <mergeCell ref="B28:E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Калкулатор</vt:lpstr>
      <vt:lpstr>Сценарии</vt:lpstr>
      <vt:lpstr>Калкулатор!Print_Area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Teodor Boev</cp:lastModifiedBy>
  <cp:revision>0</cp:revision>
  <dcterms:created xsi:type="dcterms:W3CDTF">2026-04-02T05:25:16Z</dcterms:created>
  <dcterms:modified xsi:type="dcterms:W3CDTF">2026-04-02T06:42:19Z</dcterms:modified>
  <dc:language>en-US</dc:language>
</cp:coreProperties>
</file>