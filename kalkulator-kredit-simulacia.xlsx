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Входни данни" sheetId="1" state="visible" r:id="rId1"/>
    <sheet xmlns:r="http://schemas.openxmlformats.org/officeDocument/2006/relationships" name="📈 Сравнение" sheetId="2" state="visible" r:id="rId2"/>
    <sheet xmlns:r="http://schemas.openxmlformats.org/officeDocument/2006/relationships" name="📋 Детайлен план" sheetId="3" state="visible" r:id="rId3"/>
    <sheet xmlns:r="http://schemas.openxmlformats.org/officeDocument/2006/relationships" name="💰 ROI Анали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€#,##0"/>
    <numFmt numFmtId="165" formatCode="0.0%"/>
    <numFmt numFmtId="166" formatCode="€#,##0;(€#,##0);-"/>
    <numFmt numFmtId="167" formatCode="0 &quot;години&quot;"/>
    <numFmt numFmtId="168" formatCode="0.0x"/>
  </numFmts>
  <fonts count="15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475569"/>
      <sz val="10"/>
    </font>
    <font>
      <name val="Calibri"/>
      <b val="1"/>
      <color rgb="001E3A5F"/>
      <sz val="14"/>
    </font>
    <font>
      <name val="Calibri"/>
      <color rgb="00000000"/>
      <sz val="11"/>
    </font>
    <font>
      <name val="Calibri"/>
      <b val="1"/>
      <color rgb="000000FF"/>
      <sz val="11"/>
    </font>
    <font>
      <name val="Calibri"/>
      <b val="1"/>
      <color rgb="00FFFFFF"/>
      <sz val="12"/>
    </font>
    <font>
      <name val="Calibri"/>
      <color rgb="00475569"/>
      <sz val="9"/>
    </font>
    <font>
      <name val="Calibri"/>
      <b val="1"/>
      <color rgb="001E3A5F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b val="1"/>
      <color rgb="0010B981"/>
      <sz val="12"/>
    </font>
    <font>
      <name val="Calibri"/>
      <i val="1"/>
      <color rgb="00475569"/>
      <sz val="9"/>
    </font>
    <font>
      <name val="Calibri"/>
      <color rgb="00008000"/>
      <sz val="11"/>
    </font>
    <font>
      <name val="Calibri"/>
      <b val="1"/>
      <color rgb="0010B981"/>
      <sz val="1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E3A5F"/>
        <bgColor rgb="001E3A5F"/>
      </patternFill>
    </fill>
    <fill>
      <patternFill patternType="solid">
        <fgColor rgb="00E8F4F4"/>
        <bgColor rgb="00E8F4F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10" fontId="5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66" fontId="10" fillId="5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10" fontId="13" fillId="0" borderId="0" applyAlignment="1" pivotButton="0" quotePrefix="0" xfId="0">
      <alignment horizontal="right" vertical="center"/>
    </xf>
    <xf numFmtId="167" fontId="13" fillId="0" borderId="0" applyAlignment="1" pivotButton="0" quotePrefix="0" xfId="0">
      <alignment horizontal="right" vertical="center"/>
    </xf>
    <xf numFmtId="165" fontId="14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0" customWidth="1" min="4" max="4"/>
    <col width="35" customWidth="1" min="5" max="5"/>
    <col width="2" customWidth="1" min="6" max="6"/>
  </cols>
  <sheetData>
    <row r="2">
      <c r="B2" s="1" t="inlineStr">
        <is>
          <t>КАЛКУЛАТОР ЗА СИМУЛАЦИЯ НА КРЕДИТ</t>
        </is>
      </c>
    </row>
    <row r="3">
      <c r="B3" s="2" t="inlineStr">
        <is>
          <t>Финансиране на имотна инвестиция - България 2025-2026</t>
        </is>
      </c>
    </row>
    <row r="5">
      <c r="B5" s="3" t="inlineStr">
        <is>
          <t>ОСНОВНИ ПАРАМЕТРИ</t>
        </is>
      </c>
    </row>
    <row r="7">
      <c r="B7" s="4" t="inlineStr">
        <is>
          <t>Цена на имота (€)</t>
        </is>
      </c>
      <c r="C7" s="4" t="inlineStr">
        <is>
          <t>Целеви месечен наем (€)</t>
        </is>
      </c>
      <c r="D7" s="4" t="inlineStr">
        <is>
          <t>Месечни разходи (€)</t>
        </is>
      </c>
    </row>
    <row r="8">
      <c r="B8" s="5" t="n">
        <v>80000</v>
      </c>
      <c r="C8" s="5" t="n">
        <v>500</v>
      </c>
      <c r="D8" s="5" t="n">
        <v>70</v>
      </c>
    </row>
    <row r="11">
      <c r="B11" s="4" t="inlineStr">
        <is>
          <t>Срок на кредита (години)</t>
        </is>
      </c>
    </row>
    <row r="12">
      <c r="B12" s="6" t="n">
        <v>25</v>
      </c>
    </row>
    <row r="15">
      <c r="B15" s="3" t="inlineStr">
        <is>
          <t>ЕДНОКРАТНИ РАЗХОДИ</t>
        </is>
      </c>
    </row>
    <row r="16">
      <c r="B16" s="4" t="inlineStr">
        <is>
          <t>Такси банка (€)</t>
        </is>
      </c>
      <c r="C16" s="4" t="inlineStr">
        <is>
          <t>Нотариус + ДПА (€)</t>
        </is>
      </c>
      <c r="D16" s="4" t="inlineStr">
        <is>
          <t>Застраховки (1 год, €)</t>
        </is>
      </c>
      <c r="E16" s="4" t="inlineStr">
        <is>
          <t>Буфер (€)</t>
        </is>
      </c>
    </row>
    <row r="17">
      <c r="B17" s="5" t="n">
        <v>370</v>
      </c>
      <c r="C17" s="5" t="n">
        <v>2400</v>
      </c>
      <c r="D17" s="5" t="n">
        <v>300</v>
      </c>
      <c r="E17" s="5" t="n">
        <v>1000</v>
      </c>
    </row>
    <row r="20">
      <c r="B20" s="3" t="inlineStr">
        <is>
          <t>ПРЕДПОЛОЖЕНИЯ</t>
        </is>
      </c>
    </row>
    <row r="21">
      <c r="B21" s="4" t="inlineStr">
        <is>
          <t>Годишен капиталов растеж (%)</t>
        </is>
      </c>
    </row>
    <row r="22">
      <c r="B22" s="7" t="n">
        <v>0.05</v>
      </c>
    </row>
    <row r="25">
      <c r="B25" s="3" t="inlineStr">
        <is>
          <t>ВАРИАНТИ ФИНАНСИРАНЕ</t>
        </is>
      </c>
    </row>
    <row r="27">
      <c r="B27" s="8" t="inlineStr">
        <is>
          <t>Вариант</t>
        </is>
      </c>
      <c r="C27" s="8" t="inlineStr">
        <is>
          <t>Самоучастие %</t>
        </is>
      </c>
      <c r="D27" s="8" t="inlineStr">
        <is>
          <t>Лихва %</t>
        </is>
      </c>
      <c r="E27" s="8" t="inlineStr">
        <is>
          <t>Описание</t>
        </is>
      </c>
    </row>
    <row r="28">
      <c r="B28" s="9" t="inlineStr">
        <is>
          <t>Вариант 1</t>
        </is>
      </c>
      <c r="C28" s="7" t="n">
        <v>0.15</v>
      </c>
      <c r="D28" s="10" t="n">
        <v>0.032</v>
      </c>
      <c r="E28" s="11" t="inlineStr">
        <is>
          <t>Агресивен - Минимално самоучастие</t>
        </is>
      </c>
    </row>
    <row r="29">
      <c r="B29" s="9" t="inlineStr">
        <is>
          <t>Вариант 2</t>
        </is>
      </c>
      <c r="C29" s="7" t="n">
        <v>0.2</v>
      </c>
      <c r="D29" s="10" t="n">
        <v>0.029</v>
      </c>
      <c r="E29" s="11" t="inlineStr">
        <is>
          <t>Балансиран - Стандартно</t>
        </is>
      </c>
    </row>
    <row r="30">
      <c r="B30" s="9" t="inlineStr">
        <is>
          <t>Вариант 3</t>
        </is>
      </c>
      <c r="C30" s="7" t="n">
        <v>0.25</v>
      </c>
      <c r="D30" s="10" t="n">
        <v>0.027</v>
      </c>
      <c r="E30" s="11" t="inlineStr">
        <is>
          <t>Консервативен - Препоръчително</t>
        </is>
      </c>
    </row>
    <row r="31">
      <c r="B31" s="9" t="inlineStr">
        <is>
          <t>Вариант 4</t>
        </is>
      </c>
      <c r="C31" s="7" t="n">
        <v>0.3</v>
      </c>
      <c r="D31" s="10" t="n">
        <v>0.025</v>
      </c>
      <c r="E31" s="11" t="inlineStr">
        <is>
          <t>Много консервативен - Най-ниска лихва</t>
        </is>
      </c>
    </row>
  </sheetData>
  <mergeCells count="6">
    <mergeCell ref="B5:D5"/>
    <mergeCell ref="B2:F2"/>
    <mergeCell ref="B25:F25"/>
    <mergeCell ref="B3:F3"/>
    <mergeCell ref="B15:D15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0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СРАВНЕНИЕ НА ВАРИАНТИ</t>
        </is>
      </c>
    </row>
    <row r="5" ht="30" customHeight="1">
      <c r="B5" s="8" t="inlineStr">
        <is>
          <t>Метрика</t>
        </is>
      </c>
      <c r="C5" s="8" t="inlineStr">
        <is>
          <t>Вариант 1
15%</t>
        </is>
      </c>
      <c r="D5" s="8" t="inlineStr">
        <is>
          <t>Вариант 2
20%</t>
        </is>
      </c>
      <c r="E5" s="8" t="inlineStr">
        <is>
          <t>Вариант 3
25%</t>
        </is>
      </c>
      <c r="F5" s="8" t="inlineStr">
        <is>
          <t>Вариант 4
30%</t>
        </is>
      </c>
    </row>
    <row r="6">
      <c r="B6" s="12" t="inlineStr">
        <is>
          <t>ФИНАНСИРАНЕ</t>
        </is>
      </c>
      <c r="C6" s="13" t="n"/>
      <c r="D6" s="13" t="n"/>
      <c r="E6" s="13" t="n"/>
      <c r="F6" s="13" t="n"/>
    </row>
    <row r="7">
      <c r="B7" s="14" t="inlineStr">
        <is>
          <t>Цена имот (€)</t>
        </is>
      </c>
      <c r="C7" s="15">
        <f>'📊 Входни данни'!B8</f>
        <v/>
      </c>
      <c r="D7" s="15">
        <f>'📊 Входни данни'!B8</f>
        <v/>
      </c>
      <c r="E7" s="15">
        <f>'📊 Входни данни'!B8</f>
        <v/>
      </c>
      <c r="F7" s="15">
        <f>'📊 Входни данни'!B8</f>
        <v/>
      </c>
    </row>
    <row r="8">
      <c r="B8" s="14" t="inlineStr">
        <is>
          <t>Самоучастие (€)</t>
        </is>
      </c>
      <c r="C8" s="15">
        <f>'📊 Входни данни'!B8*'📊 Входни данни'!C28</f>
        <v/>
      </c>
      <c r="D8" s="15">
        <f>'📊 Входни данни'!B8*'📊 Входни данни'!C29</f>
        <v/>
      </c>
      <c r="E8" s="15">
        <f>'📊 Входни данни'!B8*'📊 Входни данни'!C30</f>
        <v/>
      </c>
      <c r="F8" s="15">
        <f>'📊 Входни данни'!B8*'📊 Входни данни'!C31</f>
        <v/>
      </c>
    </row>
    <row r="9">
      <c r="B9" s="14" t="inlineStr">
        <is>
          <t>Кредит (€)</t>
        </is>
      </c>
      <c r="C9" s="15">
        <f>'📊 Входни данни'!B8-C8</f>
        <v/>
      </c>
      <c r="D9" s="15">
        <f>'📊 Входни данни'!B8-D8</f>
        <v/>
      </c>
      <c r="E9" s="15">
        <f>'📊 Входни данни'!B8-E8</f>
        <v/>
      </c>
      <c r="F9" s="15">
        <f>'📊 Входни данни'!B8-F8</f>
        <v/>
      </c>
    </row>
    <row r="10">
      <c r="B10" s="14" t="inlineStr">
        <is>
          <t>Лихва (%)</t>
        </is>
      </c>
      <c r="C10" s="16">
        <f>'📊 Входни данни'!D28</f>
        <v/>
      </c>
      <c r="D10" s="16">
        <f>'📊 Входни данни'!D29</f>
        <v/>
      </c>
      <c r="E10" s="16">
        <f>'📊 Входни данни'!D30</f>
        <v/>
      </c>
      <c r="F10" s="16">
        <f>'📊 Входни данни'!D31</f>
        <v/>
      </c>
    </row>
    <row r="11">
      <c r="B11" s="14" t="inlineStr"/>
      <c r="C11" s="13" t="n"/>
      <c r="D11" s="13" t="n"/>
      <c r="E11" s="13" t="n"/>
      <c r="F11" s="13" t="n"/>
    </row>
    <row r="12">
      <c r="B12" s="12" t="inlineStr">
        <is>
          <t>ПЪРВОНАЧАЛНИ РАЗХОДИ</t>
        </is>
      </c>
      <c r="C12" s="13" t="n"/>
      <c r="D12" s="13" t="n"/>
      <c r="E12" s="13" t="n"/>
      <c r="F12" s="13" t="n"/>
    </row>
    <row r="13">
      <c r="B13" s="14" t="inlineStr">
        <is>
          <t>Самоучастие</t>
        </is>
      </c>
      <c r="C13" s="15">
        <f>C8</f>
        <v/>
      </c>
      <c r="D13" s="15">
        <f>D8</f>
        <v/>
      </c>
      <c r="E13" s="15">
        <f>E8</f>
        <v/>
      </c>
      <c r="F13" s="15">
        <f>F8</f>
        <v/>
      </c>
    </row>
    <row r="14">
      <c r="B14" s="14" t="inlineStr">
        <is>
          <t>Такси банка</t>
        </is>
      </c>
      <c r="C14" s="15">
        <f>'📊 Входни данни'!B17</f>
        <v/>
      </c>
      <c r="D14" s="15">
        <f>'📊 Входни данни'!B17</f>
        <v/>
      </c>
      <c r="E14" s="15">
        <f>'📊 Входни данни'!B17</f>
        <v/>
      </c>
      <c r="F14" s="15">
        <f>'📊 Входни данни'!B17</f>
        <v/>
      </c>
    </row>
    <row r="15">
      <c r="B15" s="14" t="inlineStr">
        <is>
          <t>Нотариус + ДПА</t>
        </is>
      </c>
      <c r="C15" s="15">
        <f>'📊 Входни данни'!C17</f>
        <v/>
      </c>
      <c r="D15" s="15">
        <f>'📊 Входни данни'!C17</f>
        <v/>
      </c>
      <c r="E15" s="15">
        <f>'📊 Входни данни'!C17</f>
        <v/>
      </c>
      <c r="F15" s="15">
        <f>'📊 Входни данни'!C17</f>
        <v/>
      </c>
    </row>
    <row r="16">
      <c r="B16" s="14" t="inlineStr">
        <is>
          <t>Застраховки</t>
        </is>
      </c>
      <c r="C16" s="15">
        <f>'📊 Входни данни'!D17</f>
        <v/>
      </c>
      <c r="D16" s="15">
        <f>'📊 Входни данни'!D17</f>
        <v/>
      </c>
      <c r="E16" s="15">
        <f>'📊 Входни данни'!D17</f>
        <v/>
      </c>
      <c r="F16" s="15">
        <f>'📊 Входни данни'!D17</f>
        <v/>
      </c>
    </row>
    <row r="17">
      <c r="B17" s="14" t="inlineStr">
        <is>
          <t>Буфер</t>
        </is>
      </c>
      <c r="C17" s="15">
        <f>'📊 Входни данни'!E17</f>
        <v/>
      </c>
      <c r="D17" s="15">
        <f>'📊 Входни данни'!E17</f>
        <v/>
      </c>
      <c r="E17" s="15">
        <f>'📊 Входни данни'!E17</f>
        <v/>
      </c>
      <c r="F17" s="15">
        <f>'📊 Входни данни'!E17</f>
        <v/>
      </c>
    </row>
    <row r="18">
      <c r="B18" s="17" t="inlineStr">
        <is>
          <t>ОБЩО НЕОБХОДИМО (€)</t>
        </is>
      </c>
      <c r="C18" s="18">
        <f>SUM(C13:C17)</f>
        <v/>
      </c>
      <c r="D18" s="18">
        <f>SUM(D13:D17)</f>
        <v/>
      </c>
      <c r="E18" s="18">
        <f>SUM(E13:E17)</f>
        <v/>
      </c>
      <c r="F18" s="18">
        <f>SUM(F13:F17)</f>
        <v/>
      </c>
    </row>
    <row r="19">
      <c r="B19" s="14" t="inlineStr"/>
      <c r="C19" s="13" t="n"/>
      <c r="D19" s="13" t="n"/>
      <c r="E19" s="13" t="n"/>
      <c r="F19" s="13" t="n"/>
    </row>
    <row r="20">
      <c r="B20" s="12" t="inlineStr">
        <is>
          <t>МЕСЕЧНИ ПЛАЩАНИЯ</t>
        </is>
      </c>
      <c r="C20" s="13" t="n"/>
      <c r="D20" s="13" t="n"/>
      <c r="E20" s="13" t="n"/>
      <c r="F20" s="13" t="n"/>
    </row>
    <row r="21">
      <c r="B21" s="14" t="inlineStr">
        <is>
          <t>Месечна вноска (€)</t>
        </is>
      </c>
      <c r="C21" s="15">
        <f>-PMT(C10/12,'📊 Входни данни'!B12*12,C9)</f>
        <v/>
      </c>
      <c r="D21" s="15">
        <f>-PMT(D10/12,'📊 Входни данни'!B12*12,D9)</f>
        <v/>
      </c>
      <c r="E21" s="15">
        <f>-PMT(E10/12,'📊 Входни данни'!B12*12,E9)</f>
        <v/>
      </c>
      <c r="F21" s="15">
        <f>-PMT(F10/12,'📊 Входни данни'!B12*12,F9)</f>
        <v/>
      </c>
    </row>
    <row r="22">
      <c r="B22" s="14" t="inlineStr">
        <is>
          <t>Наем (€)</t>
        </is>
      </c>
      <c r="C22" s="15">
        <f>'📊 Входни данни'!C8</f>
        <v/>
      </c>
      <c r="D22" s="15">
        <f>'📊 Входни данни'!C8</f>
        <v/>
      </c>
      <c r="E22" s="15">
        <f>'📊 Входни данни'!C8</f>
        <v/>
      </c>
      <c r="F22" s="15">
        <f>'📊 Входни данни'!C8</f>
        <v/>
      </c>
    </row>
    <row r="23">
      <c r="B23" s="14" t="inlineStr">
        <is>
          <t>Разходи (€)</t>
        </is>
      </c>
      <c r="C23" s="15">
        <f>'📊 Входни данни'!D8</f>
        <v/>
      </c>
      <c r="D23" s="15">
        <f>'📊 Входни данни'!D8</f>
        <v/>
      </c>
      <c r="E23" s="15">
        <f>'📊 Входни данни'!D8</f>
        <v/>
      </c>
      <c r="F23" s="15">
        <f>'📊 Входни данни'!D8</f>
        <v/>
      </c>
    </row>
    <row r="24">
      <c r="B24" s="14" t="inlineStr">
        <is>
          <t>Паричен поток (€/мес)</t>
        </is>
      </c>
      <c r="C24" s="19">
        <f>C22-C21-C23</f>
        <v/>
      </c>
      <c r="D24" s="19">
        <f>D22-D21-D23</f>
        <v/>
      </c>
      <c r="E24" s="19">
        <f>E22-E21-E23</f>
        <v/>
      </c>
      <c r="F24" s="19">
        <f>F22-F21-F23</f>
        <v/>
      </c>
    </row>
    <row r="25">
      <c r="B25" s="14" t="inlineStr"/>
      <c r="C25" s="13" t="n"/>
      <c r="D25" s="13" t="n"/>
      <c r="E25" s="13" t="n"/>
      <c r="F25" s="13" t="n"/>
    </row>
    <row r="26">
      <c r="B26" s="12" t="inlineStr">
        <is>
          <t>ГОДИШЕН АНАЛИЗ</t>
        </is>
      </c>
      <c r="C26" s="13" t="n"/>
      <c r="D26" s="13" t="n"/>
      <c r="E26" s="13" t="n"/>
      <c r="F26" s="13" t="n"/>
    </row>
    <row r="27">
      <c r="B27" s="14" t="inlineStr">
        <is>
          <t>Паричен поток годишен (€)</t>
        </is>
      </c>
      <c r="C27" s="19">
        <f>C24*12</f>
        <v/>
      </c>
      <c r="D27" s="19">
        <f>D24*12</f>
        <v/>
      </c>
      <c r="E27" s="19">
        <f>E24*12</f>
        <v/>
      </c>
      <c r="F27" s="19">
        <f>F24*12</f>
        <v/>
      </c>
    </row>
    <row r="28">
      <c r="B28" s="14" t="inlineStr">
        <is>
          <t>Изплатена главница год 1 (€)</t>
        </is>
      </c>
      <c r="C28" s="15">
        <f>-PPMT(C10/12,6,'📊 Входни данни'!B12*12,C9)*12</f>
        <v/>
      </c>
      <c r="D28" s="15">
        <f>-PPMT(D10/12,6,'📊 Входни данни'!B12*12,D9)*12</f>
        <v/>
      </c>
      <c r="E28" s="15">
        <f>-PPMT(E10/12,6,'📊 Входни данни'!B12*12,E9)*12</f>
        <v/>
      </c>
      <c r="F28" s="15">
        <f>-PPMT(F10/12,6,'📊 Входни данни'!B12*12,F9)*12</f>
        <v/>
      </c>
    </row>
    <row r="29">
      <c r="B29" s="14" t="inlineStr">
        <is>
          <t>Капиталов растеж (€)</t>
        </is>
      </c>
      <c r="C29" s="15">
        <f>'📊 Входни данни'!B8*'📊 Входни данни'!B22</f>
        <v/>
      </c>
      <c r="D29" s="15">
        <f>'📊 Входни данни'!B8*'📊 Входни данни'!B22</f>
        <v/>
      </c>
      <c r="E29" s="15">
        <f>'📊 Входни данни'!B8*'📊 Входни данни'!B22</f>
        <v/>
      </c>
      <c r="F29" s="15">
        <f>'📊 Входни данни'!B8*'📊 Входни данни'!B22</f>
        <v/>
      </c>
    </row>
    <row r="30">
      <c r="B30" s="17" t="inlineStr">
        <is>
          <t>ОБЩА ПЕЧАЛБА ГОД 1 (€)</t>
        </is>
      </c>
      <c r="C30" s="18">
        <f>SUM(C27:C29)</f>
        <v/>
      </c>
      <c r="D30" s="18">
        <f>SUM(D27:D29)</f>
        <v/>
      </c>
      <c r="E30" s="18">
        <f>SUM(E27:E29)</f>
        <v/>
      </c>
      <c r="F30" s="18">
        <f>SUM(F27:F29)</f>
        <v/>
      </c>
    </row>
    <row r="31">
      <c r="B31" s="14" t="inlineStr"/>
      <c r="C31" s="13" t="n"/>
      <c r="D31" s="13" t="n"/>
      <c r="E31" s="13" t="n"/>
      <c r="F31" s="13" t="n"/>
    </row>
    <row r="32">
      <c r="B32" s="17" t="inlineStr">
        <is>
          <t>ROI ГОДИНА 1 (%)</t>
        </is>
      </c>
      <c r="C32" s="20">
        <f>C30/C18</f>
        <v/>
      </c>
      <c r="D32" s="20">
        <f>D30/D18</f>
        <v/>
      </c>
      <c r="E32" s="20">
        <f>E30/E18</f>
        <v/>
      </c>
      <c r="F32" s="20">
        <f>F30/F18</f>
        <v/>
      </c>
    </row>
    <row r="33">
      <c r="B33" s="14" t="inlineStr"/>
      <c r="C33" s="13" t="n"/>
      <c r="D33" s="13" t="n"/>
      <c r="E33" s="13" t="n"/>
      <c r="F33" s="13" t="n"/>
    </row>
    <row r="34">
      <c r="B34" s="12" t="inlineStr">
        <is>
          <t>5 ГОДИНИ</t>
        </is>
      </c>
      <c r="C34" s="13" t="n"/>
      <c r="D34" s="13" t="n"/>
      <c r="E34" s="13" t="n"/>
      <c r="F34" s="13" t="n"/>
    </row>
    <row r="35">
      <c r="B35" s="14" t="inlineStr">
        <is>
          <t>Паричен поток 5 год (€)</t>
        </is>
      </c>
      <c r="C35" s="19">
        <f>C24*60</f>
        <v/>
      </c>
      <c r="D35" s="19">
        <f>D24*60</f>
        <v/>
      </c>
      <c r="E35" s="19">
        <f>E24*60</f>
        <v/>
      </c>
      <c r="F35" s="19">
        <f>F24*60</f>
        <v/>
      </c>
    </row>
    <row r="36">
      <c r="B36" s="14" t="inlineStr">
        <is>
          <t>Изплатена главница 5 год (€)</t>
        </is>
      </c>
      <c r="C36" s="15">
        <f>C28*5*1.15</f>
        <v/>
      </c>
      <c r="D36" s="15">
        <f>D28*5*1.15</f>
        <v/>
      </c>
      <c r="E36" s="15">
        <f>E28*5*1.15</f>
        <v/>
      </c>
      <c r="F36" s="15">
        <f>F28*5*1.15</f>
        <v/>
      </c>
    </row>
    <row r="37">
      <c r="B37" s="14" t="inlineStr">
        <is>
          <t>Капиталов растеж 5 год (€)</t>
        </is>
      </c>
      <c r="C37" s="15">
        <f>'📊 Входни данни'!B8*((1+'📊 Входни данни'!B22)^5-1)</f>
        <v/>
      </c>
      <c r="D37" s="15">
        <f>'📊 Входни данни'!B8*((1+'📊 Входни данни'!B22)^5-1)</f>
        <v/>
      </c>
      <c r="E37" s="15">
        <f>'📊 Входни данни'!B8*((1+'📊 Входни данни'!B22)^5-1)</f>
        <v/>
      </c>
      <c r="F37" s="15">
        <f>'📊 Входни данни'!B8*((1+'📊 Входни данни'!B22)^5-1)</f>
        <v/>
      </c>
    </row>
    <row r="38">
      <c r="B38" s="17" t="inlineStr">
        <is>
          <t>ОБЩА ПЕЧАЛБА 5 ГОД (€)</t>
        </is>
      </c>
      <c r="C38" s="18">
        <f>SUM(C35:C37)</f>
        <v/>
      </c>
      <c r="D38" s="18">
        <f>SUM(D35:D37)</f>
        <v/>
      </c>
      <c r="E38" s="18">
        <f>SUM(E35:E37)</f>
        <v/>
      </c>
      <c r="F38" s="18">
        <f>SUM(F35:F37)</f>
        <v/>
      </c>
    </row>
    <row r="39">
      <c r="B39" s="17" t="inlineStr">
        <is>
          <t>ROI 5 ГОДИНИ (%)</t>
        </is>
      </c>
      <c r="C39" s="20">
        <f>C38/C18</f>
        <v/>
      </c>
      <c r="D39" s="20">
        <f>D38/D18</f>
        <v/>
      </c>
      <c r="E39" s="20">
        <f>E38/E18</f>
        <v/>
      </c>
      <c r="F39" s="20">
        <f>F38/F18</f>
        <v/>
      </c>
    </row>
    <row r="40">
      <c r="B40" s="21" t="n"/>
      <c r="C40" s="13" t="n"/>
      <c r="D40" s="13" t="n"/>
      <c r="E40" s="13" t="n"/>
      <c r="F40" s="13" t="n"/>
    </row>
  </sheetData>
  <mergeCells count="6">
    <mergeCell ref="B12:F12"/>
    <mergeCell ref="B6:F6"/>
    <mergeCell ref="B2:F2"/>
    <mergeCell ref="B20:F20"/>
    <mergeCell ref="B34:F34"/>
    <mergeCell ref="B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ДЕТАЙЛЕН АМОРТИЗАЦИОНЕН ПЛАН</t>
        </is>
      </c>
    </row>
    <row r="3">
      <c r="B3" s="4" t="inlineStr">
        <is>
          <t>Изберете вариант за симулация:</t>
        </is>
      </c>
      <c r="D3" s="22" t="inlineStr">
        <is>
          <t>Вариант 2</t>
        </is>
      </c>
    </row>
    <row r="4">
      <c r="B4" s="23" t="inlineStr">
        <is>
          <t>(Променете в клетка D3: Вариант 1, Вариант 2, Вариант 3, или Вариант 4)</t>
        </is>
      </c>
    </row>
    <row r="6">
      <c r="B6" s="3" t="inlineStr">
        <is>
          <t>ПАРАМЕТРИ НА ИЗБРАНИЯ ВАРИАНТ</t>
        </is>
      </c>
    </row>
    <row r="8">
      <c r="B8" s="24" t="inlineStr">
        <is>
          <t>Цена имот:</t>
        </is>
      </c>
      <c r="C8" s="25">
        <f>'📊 Входни данни'!B8</f>
        <v/>
      </c>
    </row>
    <row r="9">
      <c r="B9" s="24" t="inlineStr">
        <is>
          <t>Самоучастие %:</t>
        </is>
      </c>
      <c r="C9" s="26">
        <f>INDEX('📊 Входни данни'!C28:C31,MATCH(D3,'📊 Входни данни'!B28:B31,0))</f>
        <v/>
      </c>
    </row>
    <row r="10">
      <c r="B10" s="24" t="inlineStr">
        <is>
          <t>Самоучастие €:</t>
        </is>
      </c>
      <c r="C10" s="25">
        <f>C8*C9</f>
        <v/>
      </c>
    </row>
    <row r="11">
      <c r="B11" s="24" t="inlineStr">
        <is>
          <t>Кредит €:</t>
        </is>
      </c>
      <c r="C11" s="25">
        <f>C8-C10</f>
        <v/>
      </c>
    </row>
    <row r="12">
      <c r="B12" s="24" t="inlineStr">
        <is>
          <t>Лихва %:</t>
        </is>
      </c>
      <c r="C12" s="27">
        <f>INDEX('📊 Входни данни'!D28:D31,MATCH(D3,'📊 Входни данни'!B28:B31,0))</f>
        <v/>
      </c>
    </row>
    <row r="13">
      <c r="B13" s="24" t="inlineStr">
        <is>
          <t>Срок:</t>
        </is>
      </c>
      <c r="C13" s="28">
        <f>'📊 Входни данни'!B12</f>
        <v/>
      </c>
    </row>
    <row r="14">
      <c r="B14" s="24" t="inlineStr">
        <is>
          <t>Месечна вноска:</t>
        </is>
      </c>
      <c r="C14" s="25">
        <f>-PMT(C12/12,C13*12,C11)</f>
        <v/>
      </c>
    </row>
    <row r="17">
      <c r="B17" s="3" t="inlineStr">
        <is>
          <t>АМОРТИЗАЦИОНЕН ПЛАН (ПЪРВИ 24 МЕСЕЦА)</t>
        </is>
      </c>
    </row>
    <row r="19">
      <c r="B19" s="8" t="inlineStr">
        <is>
          <t>Месец</t>
        </is>
      </c>
      <c r="C19" s="8" t="inlineStr">
        <is>
          <t>Вноска</t>
        </is>
      </c>
      <c r="D19" s="8" t="inlineStr">
        <is>
          <t>Лихва</t>
        </is>
      </c>
      <c r="E19" s="8" t="inlineStr">
        <is>
          <t>Главница</t>
        </is>
      </c>
      <c r="F19" s="8" t="inlineStr">
        <is>
          <t>Остатък</t>
        </is>
      </c>
      <c r="G19" s="8" t="inlineStr">
        <is>
          <t>Кум. Главница</t>
        </is>
      </c>
      <c r="H19" s="8" t="inlineStr">
        <is>
          <t>Кум. Лихва</t>
        </is>
      </c>
    </row>
    <row r="20">
      <c r="B20" s="13" t="n">
        <v>1</v>
      </c>
      <c r="C20" s="15">
        <f>$C$14</f>
        <v/>
      </c>
      <c r="D20" s="15">
        <f>$C$11*$C$12/12</f>
        <v/>
      </c>
      <c r="E20" s="15">
        <f>C20-D20</f>
        <v/>
      </c>
      <c r="F20" s="15">
        <f>$C$11-E20</f>
        <v/>
      </c>
      <c r="G20" s="15">
        <f>0+E20</f>
        <v/>
      </c>
      <c r="H20" s="15">
        <f>0+D20</f>
        <v/>
      </c>
    </row>
    <row r="21">
      <c r="B21" s="13" t="n">
        <v>2</v>
      </c>
      <c r="C21" s="15">
        <f>$C$14</f>
        <v/>
      </c>
      <c r="D21" s="15">
        <f>F20*$C$12/12</f>
        <v/>
      </c>
      <c r="E21" s="15">
        <f>C21-D21</f>
        <v/>
      </c>
      <c r="F21" s="15">
        <f>F20-E21</f>
        <v/>
      </c>
      <c r="G21" s="15">
        <f>G20+E21</f>
        <v/>
      </c>
      <c r="H21" s="15">
        <f>H20+D21</f>
        <v/>
      </c>
    </row>
    <row r="22">
      <c r="B22" s="13" t="n">
        <v>3</v>
      </c>
      <c r="C22" s="15">
        <f>$C$14</f>
        <v/>
      </c>
      <c r="D22" s="15">
        <f>F21*$C$12/12</f>
        <v/>
      </c>
      <c r="E22" s="15">
        <f>C22-D22</f>
        <v/>
      </c>
      <c r="F22" s="15">
        <f>F21-E22</f>
        <v/>
      </c>
      <c r="G22" s="15">
        <f>G21+E22</f>
        <v/>
      </c>
      <c r="H22" s="15">
        <f>H21+D22</f>
        <v/>
      </c>
    </row>
    <row r="23">
      <c r="B23" s="13" t="n">
        <v>4</v>
      </c>
      <c r="C23" s="15">
        <f>$C$14</f>
        <v/>
      </c>
      <c r="D23" s="15">
        <f>F22*$C$12/12</f>
        <v/>
      </c>
      <c r="E23" s="15">
        <f>C23-D23</f>
        <v/>
      </c>
      <c r="F23" s="15">
        <f>F22-E23</f>
        <v/>
      </c>
      <c r="G23" s="15">
        <f>G22+E23</f>
        <v/>
      </c>
      <c r="H23" s="15">
        <f>H22+D23</f>
        <v/>
      </c>
    </row>
    <row r="24">
      <c r="B24" s="13" t="n">
        <v>5</v>
      </c>
      <c r="C24" s="15">
        <f>$C$14</f>
        <v/>
      </c>
      <c r="D24" s="15">
        <f>F23*$C$12/12</f>
        <v/>
      </c>
      <c r="E24" s="15">
        <f>C24-D24</f>
        <v/>
      </c>
      <c r="F24" s="15">
        <f>F23-E24</f>
        <v/>
      </c>
      <c r="G24" s="15">
        <f>G23+E24</f>
        <v/>
      </c>
      <c r="H24" s="15">
        <f>H23+D24</f>
        <v/>
      </c>
    </row>
    <row r="25">
      <c r="B25" s="13" t="n">
        <v>6</v>
      </c>
      <c r="C25" s="15">
        <f>$C$14</f>
        <v/>
      </c>
      <c r="D25" s="15">
        <f>F24*$C$12/12</f>
        <v/>
      </c>
      <c r="E25" s="15">
        <f>C25-D25</f>
        <v/>
      </c>
      <c r="F25" s="15">
        <f>F24-E25</f>
        <v/>
      </c>
      <c r="G25" s="15">
        <f>G24+E25</f>
        <v/>
      </c>
      <c r="H25" s="15">
        <f>H24+D25</f>
        <v/>
      </c>
    </row>
    <row r="26">
      <c r="B26" s="13" t="n">
        <v>7</v>
      </c>
      <c r="C26" s="15">
        <f>$C$14</f>
        <v/>
      </c>
      <c r="D26" s="15">
        <f>F25*$C$12/12</f>
        <v/>
      </c>
      <c r="E26" s="15">
        <f>C26-D26</f>
        <v/>
      </c>
      <c r="F26" s="15">
        <f>F25-E26</f>
        <v/>
      </c>
      <c r="G26" s="15">
        <f>G25+E26</f>
        <v/>
      </c>
      <c r="H26" s="15">
        <f>H25+D26</f>
        <v/>
      </c>
    </row>
    <row r="27">
      <c r="B27" s="13" t="n">
        <v>8</v>
      </c>
      <c r="C27" s="15">
        <f>$C$14</f>
        <v/>
      </c>
      <c r="D27" s="15">
        <f>F26*$C$12/12</f>
        <v/>
      </c>
      <c r="E27" s="15">
        <f>C27-D27</f>
        <v/>
      </c>
      <c r="F27" s="15">
        <f>F26-E27</f>
        <v/>
      </c>
      <c r="G27" s="15">
        <f>G26+E27</f>
        <v/>
      </c>
      <c r="H27" s="15">
        <f>H26+D27</f>
        <v/>
      </c>
    </row>
    <row r="28">
      <c r="B28" s="13" t="n">
        <v>9</v>
      </c>
      <c r="C28" s="15">
        <f>$C$14</f>
        <v/>
      </c>
      <c r="D28" s="15">
        <f>F27*$C$12/12</f>
        <v/>
      </c>
      <c r="E28" s="15">
        <f>C28-D28</f>
        <v/>
      </c>
      <c r="F28" s="15">
        <f>F27-E28</f>
        <v/>
      </c>
      <c r="G28" s="15">
        <f>G27+E28</f>
        <v/>
      </c>
      <c r="H28" s="15">
        <f>H27+D28</f>
        <v/>
      </c>
    </row>
    <row r="29">
      <c r="B29" s="13" t="n">
        <v>10</v>
      </c>
      <c r="C29" s="15">
        <f>$C$14</f>
        <v/>
      </c>
      <c r="D29" s="15">
        <f>F28*$C$12/12</f>
        <v/>
      </c>
      <c r="E29" s="15">
        <f>C29-D29</f>
        <v/>
      </c>
      <c r="F29" s="15">
        <f>F28-E29</f>
        <v/>
      </c>
      <c r="G29" s="15">
        <f>G28+E29</f>
        <v/>
      </c>
      <c r="H29" s="15">
        <f>H28+D29</f>
        <v/>
      </c>
    </row>
    <row r="30">
      <c r="B30" s="13" t="n">
        <v>11</v>
      </c>
      <c r="C30" s="15">
        <f>$C$14</f>
        <v/>
      </c>
      <c r="D30" s="15">
        <f>F29*$C$12/12</f>
        <v/>
      </c>
      <c r="E30" s="15">
        <f>C30-D30</f>
        <v/>
      </c>
      <c r="F30" s="15">
        <f>F29-E30</f>
        <v/>
      </c>
      <c r="G30" s="15">
        <f>G29+E30</f>
        <v/>
      </c>
      <c r="H30" s="15">
        <f>H29+D30</f>
        <v/>
      </c>
    </row>
    <row r="31">
      <c r="B31" s="13" t="n">
        <v>12</v>
      </c>
      <c r="C31" s="15">
        <f>$C$14</f>
        <v/>
      </c>
      <c r="D31" s="15">
        <f>F30*$C$12/12</f>
        <v/>
      </c>
      <c r="E31" s="15">
        <f>C31-D31</f>
        <v/>
      </c>
      <c r="F31" s="15">
        <f>F30-E31</f>
        <v/>
      </c>
      <c r="G31" s="15">
        <f>G30+E31</f>
        <v/>
      </c>
      <c r="H31" s="15">
        <f>H30+D31</f>
        <v/>
      </c>
    </row>
    <row r="32">
      <c r="B32" s="13" t="n">
        <v>13</v>
      </c>
      <c r="C32" s="15">
        <f>$C$14</f>
        <v/>
      </c>
      <c r="D32" s="15">
        <f>F31*$C$12/12</f>
        <v/>
      </c>
      <c r="E32" s="15">
        <f>C32-D32</f>
        <v/>
      </c>
      <c r="F32" s="15">
        <f>F31-E32</f>
        <v/>
      </c>
      <c r="G32" s="15">
        <f>G31+E32</f>
        <v/>
      </c>
      <c r="H32" s="15">
        <f>H31+D32</f>
        <v/>
      </c>
    </row>
    <row r="33">
      <c r="B33" s="13" t="n">
        <v>14</v>
      </c>
      <c r="C33" s="15">
        <f>$C$14</f>
        <v/>
      </c>
      <c r="D33" s="15">
        <f>F32*$C$12/12</f>
        <v/>
      </c>
      <c r="E33" s="15">
        <f>C33-D33</f>
        <v/>
      </c>
      <c r="F33" s="15">
        <f>F32-E33</f>
        <v/>
      </c>
      <c r="G33" s="15">
        <f>G32+E33</f>
        <v/>
      </c>
      <c r="H33" s="15">
        <f>H32+D33</f>
        <v/>
      </c>
    </row>
    <row r="34">
      <c r="B34" s="13" t="n">
        <v>15</v>
      </c>
      <c r="C34" s="15">
        <f>$C$14</f>
        <v/>
      </c>
      <c r="D34" s="15">
        <f>F33*$C$12/12</f>
        <v/>
      </c>
      <c r="E34" s="15">
        <f>C34-D34</f>
        <v/>
      </c>
      <c r="F34" s="15">
        <f>F33-E34</f>
        <v/>
      </c>
      <c r="G34" s="15">
        <f>G33+E34</f>
        <v/>
      </c>
      <c r="H34" s="15">
        <f>H33+D34</f>
        <v/>
      </c>
    </row>
    <row r="35">
      <c r="B35" s="13" t="n">
        <v>16</v>
      </c>
      <c r="C35" s="15">
        <f>$C$14</f>
        <v/>
      </c>
      <c r="D35" s="15">
        <f>F34*$C$12/12</f>
        <v/>
      </c>
      <c r="E35" s="15">
        <f>C35-D35</f>
        <v/>
      </c>
      <c r="F35" s="15">
        <f>F34-E35</f>
        <v/>
      </c>
      <c r="G35" s="15">
        <f>G34+E35</f>
        <v/>
      </c>
      <c r="H35" s="15">
        <f>H34+D35</f>
        <v/>
      </c>
    </row>
    <row r="36">
      <c r="B36" s="13" t="n">
        <v>17</v>
      </c>
      <c r="C36" s="15">
        <f>$C$14</f>
        <v/>
      </c>
      <c r="D36" s="15">
        <f>F35*$C$12/12</f>
        <v/>
      </c>
      <c r="E36" s="15">
        <f>C36-D36</f>
        <v/>
      </c>
      <c r="F36" s="15">
        <f>F35-E36</f>
        <v/>
      </c>
      <c r="G36" s="15">
        <f>G35+E36</f>
        <v/>
      </c>
      <c r="H36" s="15">
        <f>H35+D36</f>
        <v/>
      </c>
    </row>
    <row r="37">
      <c r="B37" s="13" t="n">
        <v>18</v>
      </c>
      <c r="C37" s="15">
        <f>$C$14</f>
        <v/>
      </c>
      <c r="D37" s="15">
        <f>F36*$C$12/12</f>
        <v/>
      </c>
      <c r="E37" s="15">
        <f>C37-D37</f>
        <v/>
      </c>
      <c r="F37" s="15">
        <f>F36-E37</f>
        <v/>
      </c>
      <c r="G37" s="15">
        <f>G36+E37</f>
        <v/>
      </c>
      <c r="H37" s="15">
        <f>H36+D37</f>
        <v/>
      </c>
    </row>
    <row r="38">
      <c r="B38" s="13" t="n">
        <v>19</v>
      </c>
      <c r="C38" s="15">
        <f>$C$14</f>
        <v/>
      </c>
      <c r="D38" s="15">
        <f>F37*$C$12/12</f>
        <v/>
      </c>
      <c r="E38" s="15">
        <f>C38-D38</f>
        <v/>
      </c>
      <c r="F38" s="15">
        <f>F37-E38</f>
        <v/>
      </c>
      <c r="G38" s="15">
        <f>G37+E38</f>
        <v/>
      </c>
      <c r="H38" s="15">
        <f>H37+D38</f>
        <v/>
      </c>
    </row>
    <row r="39">
      <c r="B39" s="13" t="n">
        <v>20</v>
      </c>
      <c r="C39" s="15">
        <f>$C$14</f>
        <v/>
      </c>
      <c r="D39" s="15">
        <f>F38*$C$12/12</f>
        <v/>
      </c>
      <c r="E39" s="15">
        <f>C39-D39</f>
        <v/>
      </c>
      <c r="F39" s="15">
        <f>F38-E39</f>
        <v/>
      </c>
      <c r="G39" s="15">
        <f>G38+E39</f>
        <v/>
      </c>
      <c r="H39" s="15">
        <f>H38+D39</f>
        <v/>
      </c>
    </row>
    <row r="40">
      <c r="B40" s="13" t="n">
        <v>21</v>
      </c>
      <c r="C40" s="15">
        <f>$C$14</f>
        <v/>
      </c>
      <c r="D40" s="15">
        <f>F39*$C$12/12</f>
        <v/>
      </c>
      <c r="E40" s="15">
        <f>C40-D40</f>
        <v/>
      </c>
      <c r="F40" s="15">
        <f>F39-E40</f>
        <v/>
      </c>
      <c r="G40" s="15">
        <f>G39+E40</f>
        <v/>
      </c>
      <c r="H40" s="15">
        <f>H39+D40</f>
        <v/>
      </c>
    </row>
    <row r="41">
      <c r="B41" s="13" t="n">
        <v>22</v>
      </c>
      <c r="C41" s="15">
        <f>$C$14</f>
        <v/>
      </c>
      <c r="D41" s="15">
        <f>F40*$C$12/12</f>
        <v/>
      </c>
      <c r="E41" s="15">
        <f>C41-D41</f>
        <v/>
      </c>
      <c r="F41" s="15">
        <f>F40-E41</f>
        <v/>
      </c>
      <c r="G41" s="15">
        <f>G40+E41</f>
        <v/>
      </c>
      <c r="H41" s="15">
        <f>H40+D41</f>
        <v/>
      </c>
    </row>
    <row r="42">
      <c r="B42" s="13" t="n">
        <v>23</v>
      </c>
      <c r="C42" s="15">
        <f>$C$14</f>
        <v/>
      </c>
      <c r="D42" s="15">
        <f>F41*$C$12/12</f>
        <v/>
      </c>
      <c r="E42" s="15">
        <f>C42-D42</f>
        <v/>
      </c>
      <c r="F42" s="15">
        <f>F41-E42</f>
        <v/>
      </c>
      <c r="G42" s="15">
        <f>G41+E42</f>
        <v/>
      </c>
      <c r="H42" s="15">
        <f>H41+D42</f>
        <v/>
      </c>
    </row>
    <row r="43">
      <c r="B43" s="13" t="n">
        <v>24</v>
      </c>
      <c r="C43" s="15">
        <f>$C$14</f>
        <v/>
      </c>
      <c r="D43" s="15">
        <f>F42*$C$12/12</f>
        <v/>
      </c>
      <c r="E43" s="15">
        <f>C43-D43</f>
        <v/>
      </c>
      <c r="F43" s="15">
        <f>F42-E43</f>
        <v/>
      </c>
      <c r="G43" s="15">
        <f>G42+E43</f>
        <v/>
      </c>
      <c r="H43" s="15">
        <f>H42+D43</f>
        <v/>
      </c>
    </row>
  </sheetData>
  <mergeCells count="4">
    <mergeCell ref="B4:F4"/>
    <mergeCell ref="B6:D6"/>
    <mergeCell ref="B2:H2"/>
    <mergeCell ref="B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ROI АНАЛИЗ С ЛЕВЪРИДЖ</t>
        </is>
      </c>
    </row>
    <row r="3">
      <c r="B3" s="2" t="inlineStr">
        <is>
          <t>Сравнение на възвръщаемостта на инвестицията</t>
        </is>
      </c>
    </row>
    <row r="5" ht="30" customHeight="1">
      <c r="B5" s="8" t="inlineStr">
        <is>
          <t>ПОКАЗАТЕЛ</t>
        </is>
      </c>
      <c r="C5" s="8" t="inlineStr">
        <is>
          <t>Вариант 1
15%</t>
        </is>
      </c>
      <c r="D5" s="8" t="inlineStr">
        <is>
          <t>Вариант 2
20%</t>
        </is>
      </c>
      <c r="E5" s="8" t="inlineStr">
        <is>
          <t>Вариант 3
25%</t>
        </is>
      </c>
      <c r="F5" s="8" t="inlineStr">
        <is>
          <t>Вариант 4
30%</t>
        </is>
      </c>
    </row>
    <row r="6">
      <c r="B6" s="14" t="inlineStr">
        <is>
          <t>Необходим капитал (€)</t>
        </is>
      </c>
      <c r="C6" s="15">
        <f>'📈 Сравнение'!C18</f>
        <v/>
      </c>
      <c r="D6" s="15">
        <f>'📈 Сравнение'!D18</f>
        <v/>
      </c>
      <c r="E6" s="15">
        <f>'📈 Сравнение'!E18</f>
        <v/>
      </c>
      <c r="F6" s="15">
        <f>'📈 Сравнение'!F18</f>
        <v/>
      </c>
    </row>
    <row r="7">
      <c r="B7" s="14" t="inlineStr">
        <is>
          <t>ROI Година 1 (%)</t>
        </is>
      </c>
      <c r="C7" s="29">
        <f>'📈 Сравнение'!C34</f>
        <v/>
      </c>
      <c r="D7" s="29">
        <f>'📈 Сравнение'!D34</f>
        <v/>
      </c>
      <c r="E7" s="29">
        <f>'📈 Сравнение'!E34</f>
        <v/>
      </c>
      <c r="F7" s="29">
        <f>'📈 Сравнение'!F34</f>
        <v/>
      </c>
    </row>
    <row r="8">
      <c r="B8" s="14" t="inlineStr">
        <is>
          <t>ROI 5 Години (%)</t>
        </is>
      </c>
      <c r="C8" s="29">
        <f>'📈 Сравнение'!C40</f>
        <v/>
      </c>
      <c r="D8" s="29">
        <f>'📈 Сравнение'!D40</f>
        <v/>
      </c>
      <c r="E8" s="29">
        <f>'📈 Сравнение'!E40</f>
        <v/>
      </c>
      <c r="F8" s="29">
        <f>'📈 Сравнение'!F40</f>
        <v/>
      </c>
    </row>
    <row r="9">
      <c r="B9" s="14" t="inlineStr">
        <is>
          <t>Паричен поток/мес (€)</t>
        </is>
      </c>
      <c r="C9" s="19">
        <f>'📈 Сравнение'!C25</f>
        <v/>
      </c>
      <c r="D9" s="19">
        <f>'📈 Сравнение'!D25</f>
        <v/>
      </c>
      <c r="E9" s="19">
        <f>'📈 Сравнение'!E25</f>
        <v/>
      </c>
      <c r="F9" s="19">
        <f>'📈 Сравнение'!F25</f>
        <v/>
      </c>
    </row>
    <row r="10">
      <c r="B10" s="14" t="inlineStr">
        <is>
          <t>Левъридж коефициент</t>
        </is>
      </c>
      <c r="C10" s="30">
        <f>1/('📊 Входни данни'!C28)</f>
        <v/>
      </c>
      <c r="D10" s="30">
        <f>1/('📊 Входни данни'!C29)</f>
        <v/>
      </c>
      <c r="E10" s="30">
        <f>1/('📊 Входни данни'!C30)</f>
        <v/>
      </c>
      <c r="F10" s="30">
        <f>1/('📊 Входни данни'!C31)</f>
        <v/>
      </c>
    </row>
    <row r="13">
      <c r="B13" s="3" t="inlineStr">
        <is>
          <t>ИНТЕРПРЕТАЦИЯ</t>
        </is>
      </c>
    </row>
    <row r="14">
      <c r="B14" s="31" t="inlineStr">
        <is>
          <t xml:space="preserve">
КЛЮЧОВИ ИЗВОДИ:
✓ По-висок левъридж = по-висок ROI, НО по-висок риск
✓ Препоръчително за повечето: Вариант 2 или 3 (20-25%)
✓ Положителен паричен поток е задължителен
✓ ROI над 25% годишно е отличен резултат
ЛЕВЪРИДЖ КОЕФИЦИЕНТ:
- 6.7x (15%) = Агресивен
- 5.0x (20%) = Балансиран
- 4.0x (25%) = Консервативен
- 3.3x (30%) = Много консервативен
</t>
        </is>
      </c>
    </row>
    <row r="15"/>
    <row r="16"/>
    <row r="17"/>
    <row r="18"/>
    <row r="19"/>
    <row r="20"/>
    <row r="21"/>
    <row r="22"/>
    <row r="23"/>
    <row r="24"/>
    <row r="25"/>
  </sheetData>
  <mergeCells count="4">
    <mergeCell ref="B2:F2"/>
    <mergeCell ref="B13:F13"/>
    <mergeCell ref="B3:F3"/>
    <mergeCell ref="B14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2026-03-19T12:48:12Z</dcterms:created>
  <dcterms:modified xmlns:dcterms="http://purl.org/dc/terms/" xmlns:xsi="http://www.w3.org/2001/XMLSchema-instance" xsi:type="dcterms:W3CDTF">2026-03-19T12:48:12Z</dcterms:modified>
</cp:coreProperties>
</file>